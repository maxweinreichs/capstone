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xweinreich/Desktop/"/>
    </mc:Choice>
  </mc:AlternateContent>
  <xr:revisionPtr revIDLastSave="0" documentId="13_ncr:1_{0690B3DD-C696-F547-848E-3C0DE2B1AC56}" xr6:coauthVersionLast="47" xr6:coauthVersionMax="47" xr10:uidLastSave="{00000000-0000-0000-0000-000000000000}"/>
  <bookViews>
    <workbookView xWindow="1100" yWindow="760" windowWidth="28800" windowHeight="15960" xr2:uid="{00000000-000D-0000-FFFF-FFFF00000000}"/>
  </bookViews>
  <sheets>
    <sheet name="Worksheet" sheetId="1" r:id="rId1"/>
    <sheet name="Hoja1" sheetId="2" r:id="rId2"/>
  </sheets>
  <definedNames>
    <definedName name="_xlnm._FilterDatabase" localSheetId="0" hidden="1">Worksheet!$O$13:$W$93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2" i="1" l="1" a="1"/>
  <c r="Y62" i="1" s="1"/>
  <c r="AF62" i="1" s="1"/>
  <c r="Y63" i="1" a="1"/>
  <c r="Y63" i="1" s="1"/>
  <c r="AF63" i="1" s="1"/>
  <c r="Y64" i="1" a="1"/>
  <c r="Y64" i="1" s="1"/>
  <c r="AF64" i="1" s="1"/>
  <c r="J3" i="1"/>
  <c r="Y18" i="1" s="1" a="1"/>
  <c r="Y18" i="1" s="1"/>
  <c r="AF18" i="1" s="1"/>
  <c r="J4" i="1"/>
  <c r="Y22" i="1" s="1" a="1"/>
  <c r="Y22" i="1" s="1"/>
  <c r="AF22" i="1" s="1"/>
  <c r="J5" i="1"/>
  <c r="Y26" i="1" s="1" a="1"/>
  <c r="Y26" i="1" s="1"/>
  <c r="AF26" i="1" s="1"/>
  <c r="J6" i="1"/>
  <c r="Y30" i="1" s="1" a="1"/>
  <c r="Y30" i="1" s="1"/>
  <c r="AF30" i="1" s="1"/>
  <c r="J7" i="1"/>
  <c r="Y34" i="1" s="1" a="1"/>
  <c r="Y34" i="1" s="1"/>
  <c r="AF34" i="1" s="1"/>
  <c r="J8" i="1"/>
  <c r="Y38" i="1" s="1" a="1"/>
  <c r="Y38" i="1" s="1"/>
  <c r="AF38" i="1" s="1"/>
  <c r="J9" i="1"/>
  <c r="Y42" i="1" s="1" a="1"/>
  <c r="Y42" i="1" s="1"/>
  <c r="AF42" i="1" s="1"/>
  <c r="J10" i="1"/>
  <c r="Y46" i="1" s="1" a="1"/>
  <c r="Y46" i="1" s="1"/>
  <c r="AF46" i="1" s="1"/>
  <c r="J11" i="1"/>
  <c r="Y50" i="1" s="1" a="1"/>
  <c r="Y50" i="1" s="1"/>
  <c r="AF50" i="1" s="1"/>
  <c r="J12" i="1"/>
  <c r="Y54" i="1" s="1" a="1"/>
  <c r="Y54" i="1" s="1"/>
  <c r="AF54" i="1" s="1"/>
  <c r="J13" i="1"/>
  <c r="Y58" i="1" s="1" a="1"/>
  <c r="Y58" i="1" s="1"/>
  <c r="AF58" i="1" s="1"/>
  <c r="J14" i="1"/>
  <c r="J15" i="1"/>
  <c r="Y66" i="1" s="1" a="1"/>
  <c r="Y66" i="1" s="1"/>
  <c r="AF66" i="1" s="1"/>
  <c r="J16" i="1"/>
  <c r="Y70" i="1" s="1" a="1"/>
  <c r="Y70" i="1" s="1"/>
  <c r="AF70" i="1" s="1"/>
  <c r="J17" i="1"/>
  <c r="Y74" i="1" s="1" a="1"/>
  <c r="Y74" i="1" s="1"/>
  <c r="AF74" i="1" s="1"/>
  <c r="J18" i="1"/>
  <c r="Y78" i="1" s="1" a="1"/>
  <c r="Y78" i="1" s="1"/>
  <c r="AF78" i="1" s="1"/>
  <c r="J19" i="1"/>
  <c r="Y82" i="1" s="1" a="1"/>
  <c r="Y82" i="1" s="1"/>
  <c r="AF82" i="1" s="1"/>
  <c r="J20" i="1"/>
  <c r="Y86" i="1" s="1" a="1"/>
  <c r="Y86" i="1" s="1"/>
  <c r="AF86" i="1" s="1"/>
  <c r="J21" i="1"/>
  <c r="Y90" i="1" s="1" a="1"/>
  <c r="Y90" i="1" s="1"/>
  <c r="AF90" i="1" s="1"/>
  <c r="J22" i="1"/>
  <c r="Y15" i="1" s="1" a="1"/>
  <c r="Y15" i="1" s="1"/>
  <c r="AF15" i="1" s="1"/>
  <c r="J23" i="1"/>
  <c r="Y19" i="1" s="1" a="1"/>
  <c r="Y19" i="1" s="1"/>
  <c r="AF19" i="1" s="1"/>
  <c r="J24" i="1"/>
  <c r="Y23" i="1" s="1" a="1"/>
  <c r="Y23" i="1" s="1"/>
  <c r="AF23" i="1" s="1"/>
  <c r="J25" i="1"/>
  <c r="Y27" i="1" s="1" a="1"/>
  <c r="Y27" i="1" s="1"/>
  <c r="AF27" i="1" s="1"/>
  <c r="J26" i="1"/>
  <c r="Y31" i="1" s="1" a="1"/>
  <c r="Y31" i="1" s="1"/>
  <c r="AF31" i="1" s="1"/>
  <c r="J27" i="1"/>
  <c r="Y35" i="1" s="1" a="1"/>
  <c r="Y35" i="1" s="1"/>
  <c r="AF35" i="1" s="1"/>
  <c r="J28" i="1"/>
  <c r="Y39" i="1" s="1" a="1"/>
  <c r="Y39" i="1" s="1"/>
  <c r="AF39" i="1" s="1"/>
  <c r="J29" i="1"/>
  <c r="Y43" i="1" s="1" a="1"/>
  <c r="Y43" i="1" s="1"/>
  <c r="AF43" i="1" s="1"/>
  <c r="J30" i="1"/>
  <c r="Y47" i="1" s="1" a="1"/>
  <c r="Y47" i="1" s="1"/>
  <c r="AF47" i="1" s="1"/>
  <c r="J31" i="1"/>
  <c r="Y51" i="1" s="1" a="1"/>
  <c r="Y51" i="1" s="1"/>
  <c r="AF51" i="1" s="1"/>
  <c r="J32" i="1"/>
  <c r="Y55" i="1" s="1" a="1"/>
  <c r="Y55" i="1" s="1"/>
  <c r="AF55" i="1" s="1"/>
  <c r="J33" i="1"/>
  <c r="Y59" i="1" s="1" a="1"/>
  <c r="Y59" i="1" s="1"/>
  <c r="AF59" i="1" s="1"/>
  <c r="J34" i="1"/>
  <c r="J35" i="1"/>
  <c r="Y67" i="1" s="1" a="1"/>
  <c r="Y67" i="1" s="1"/>
  <c r="AF67" i="1" s="1"/>
  <c r="J36" i="1"/>
  <c r="Y71" i="1" s="1" a="1"/>
  <c r="Y71" i="1" s="1"/>
  <c r="AF71" i="1" s="1"/>
  <c r="J37" i="1"/>
  <c r="Y75" i="1" s="1" a="1"/>
  <c r="Y75" i="1" s="1"/>
  <c r="AF75" i="1" s="1"/>
  <c r="J38" i="1"/>
  <c r="Y79" i="1" s="1" a="1"/>
  <c r="Y79" i="1" s="1"/>
  <c r="AF79" i="1" s="1"/>
  <c r="J39" i="1"/>
  <c r="Y83" i="1" s="1" a="1"/>
  <c r="Y83" i="1" s="1"/>
  <c r="AF83" i="1" s="1"/>
  <c r="J40" i="1"/>
  <c r="Y87" i="1" s="1" a="1"/>
  <c r="Y87" i="1" s="1"/>
  <c r="AF87" i="1" s="1"/>
  <c r="J41" i="1"/>
  <c r="Y91" i="1" s="1" a="1"/>
  <c r="Y91" i="1" s="1"/>
  <c r="AF91" i="1" s="1"/>
  <c r="J42" i="1"/>
  <c r="Y16" i="1" s="1" a="1"/>
  <c r="Y16" i="1" s="1"/>
  <c r="AF16" i="1" s="1"/>
  <c r="J43" i="1"/>
  <c r="Y20" i="1" s="1" a="1"/>
  <c r="Y20" i="1" s="1"/>
  <c r="AF20" i="1" s="1"/>
  <c r="J44" i="1"/>
  <c r="Y24" i="1" s="1" a="1"/>
  <c r="Y24" i="1" s="1"/>
  <c r="AF24" i="1" s="1"/>
  <c r="J45" i="1"/>
  <c r="Y28" i="1" s="1" a="1"/>
  <c r="Y28" i="1" s="1"/>
  <c r="AF28" i="1" s="1"/>
  <c r="J46" i="1"/>
  <c r="Y32" i="1" s="1" a="1"/>
  <c r="Y32" i="1" s="1"/>
  <c r="AF32" i="1" s="1"/>
  <c r="J47" i="1"/>
  <c r="Y36" i="1" s="1" a="1"/>
  <c r="Y36" i="1" s="1"/>
  <c r="AF36" i="1" s="1"/>
  <c r="J48" i="1"/>
  <c r="Y40" i="1" s="1" a="1"/>
  <c r="Y40" i="1" s="1"/>
  <c r="AF40" i="1" s="1"/>
  <c r="J49" i="1"/>
  <c r="Y44" i="1" s="1" a="1"/>
  <c r="Y44" i="1" s="1"/>
  <c r="AF44" i="1" s="1"/>
  <c r="J50" i="1"/>
  <c r="Y48" i="1" s="1" a="1"/>
  <c r="Y48" i="1" s="1"/>
  <c r="AF48" i="1" s="1"/>
  <c r="J51" i="1"/>
  <c r="Y52" i="1" s="1" a="1"/>
  <c r="Y52" i="1" s="1"/>
  <c r="AF52" i="1" s="1"/>
  <c r="J52" i="1"/>
  <c r="Y56" i="1" s="1" a="1"/>
  <c r="Y56" i="1" s="1"/>
  <c r="AF56" i="1" s="1"/>
  <c r="J53" i="1"/>
  <c r="Y60" i="1" s="1" a="1"/>
  <c r="Y60" i="1" s="1"/>
  <c r="AF60" i="1" s="1"/>
  <c r="J54" i="1"/>
  <c r="J55" i="1"/>
  <c r="Y68" i="1" s="1" a="1"/>
  <c r="Y68" i="1" s="1"/>
  <c r="AF68" i="1" s="1"/>
  <c r="J56" i="1"/>
  <c r="Y72" i="1" s="1" a="1"/>
  <c r="Y72" i="1" s="1"/>
  <c r="AF72" i="1" s="1"/>
  <c r="J57" i="1"/>
  <c r="Y76" i="1" s="1" a="1"/>
  <c r="Y76" i="1" s="1"/>
  <c r="AF76" i="1" s="1"/>
  <c r="J58" i="1"/>
  <c r="Y80" i="1" s="1" a="1"/>
  <c r="Y80" i="1" s="1"/>
  <c r="AF80" i="1" s="1"/>
  <c r="J59" i="1"/>
  <c r="Y84" i="1" s="1" a="1"/>
  <c r="Y84" i="1" s="1"/>
  <c r="AF84" i="1" s="1"/>
  <c r="J60" i="1"/>
  <c r="Y88" i="1" s="1" a="1"/>
  <c r="Y88" i="1" s="1"/>
  <c r="AF88" i="1" s="1"/>
  <c r="J61" i="1"/>
  <c r="Y92" i="1" s="1" a="1"/>
  <c r="Y92" i="1" s="1"/>
  <c r="AF92" i="1" s="1"/>
  <c r="J62" i="1"/>
  <c r="Y17" i="1" s="1" a="1"/>
  <c r="Y17" i="1" s="1"/>
  <c r="AF17" i="1" s="1"/>
  <c r="J63" i="1"/>
  <c r="Y21" i="1" s="1" a="1"/>
  <c r="Y21" i="1" s="1"/>
  <c r="AF21" i="1" s="1"/>
  <c r="J64" i="1"/>
  <c r="Y25" i="1" s="1" a="1"/>
  <c r="Y25" i="1" s="1"/>
  <c r="AF25" i="1" s="1"/>
  <c r="J65" i="1"/>
  <c r="Y29" i="1" s="1" a="1"/>
  <c r="Y29" i="1" s="1"/>
  <c r="AF29" i="1" s="1"/>
  <c r="J66" i="1"/>
  <c r="Y33" i="1" s="1" a="1"/>
  <c r="Y33" i="1" s="1"/>
  <c r="AF33" i="1" s="1"/>
  <c r="J67" i="1"/>
  <c r="Y37" i="1" s="1" a="1"/>
  <c r="Y37" i="1" s="1"/>
  <c r="AF37" i="1" s="1"/>
  <c r="J68" i="1"/>
  <c r="Y41" i="1" s="1" a="1"/>
  <c r="Y41" i="1" s="1"/>
  <c r="AF41" i="1" s="1"/>
  <c r="J69" i="1"/>
  <c r="Y45" i="1" s="1" a="1"/>
  <c r="Y45" i="1" s="1"/>
  <c r="AF45" i="1" s="1"/>
  <c r="J70" i="1"/>
  <c r="Y49" i="1" s="1" a="1"/>
  <c r="Y49" i="1" s="1"/>
  <c r="AF49" i="1" s="1"/>
  <c r="J71" i="1"/>
  <c r="Y53" i="1" s="1" a="1"/>
  <c r="Y53" i="1" s="1"/>
  <c r="AF53" i="1" s="1"/>
  <c r="J72" i="1"/>
  <c r="Y57" i="1" s="1" a="1"/>
  <c r="Y57" i="1" s="1"/>
  <c r="AF57" i="1" s="1"/>
  <c r="J73" i="1"/>
  <c r="Y61" i="1" s="1" a="1"/>
  <c r="Y61" i="1" s="1"/>
  <c r="AF61" i="1" s="1"/>
  <c r="J74" i="1"/>
  <c r="Y65" i="1" s="1" a="1"/>
  <c r="Y65" i="1" s="1"/>
  <c r="AF65" i="1" s="1"/>
  <c r="J75" i="1"/>
  <c r="Y69" i="1" s="1" a="1"/>
  <c r="Y69" i="1" s="1"/>
  <c r="AF69" i="1" s="1"/>
  <c r="J76" i="1"/>
  <c r="Y73" i="1" s="1" a="1"/>
  <c r="Y73" i="1" s="1"/>
  <c r="AF73" i="1" s="1"/>
  <c r="J77" i="1"/>
  <c r="Y77" i="1" s="1" a="1"/>
  <c r="Y77" i="1" s="1"/>
  <c r="AF77" i="1" s="1"/>
  <c r="J78" i="1"/>
  <c r="Y81" i="1" s="1" a="1"/>
  <c r="Y81" i="1" s="1"/>
  <c r="AF81" i="1" s="1"/>
  <c r="J79" i="1"/>
  <c r="Y85" i="1" s="1" a="1"/>
  <c r="Y85" i="1" s="1"/>
  <c r="AF85" i="1" s="1"/>
  <c r="J80" i="1"/>
  <c r="Y89" i="1" s="1" a="1"/>
  <c r="Y89" i="1" s="1"/>
  <c r="AF89" i="1" s="1"/>
  <c r="J81" i="1"/>
  <c r="Y93" i="1" s="1" a="1"/>
  <c r="Y93" i="1" s="1"/>
  <c r="AF93" i="1" s="1"/>
  <c r="J2" i="1"/>
  <c r="U18" i="1" s="1" a="1"/>
  <c r="U18" i="1" s="1"/>
  <c r="AE18" i="1" s="1"/>
  <c r="A2" i="1"/>
  <c r="S14" i="1" s="1" a="1"/>
  <c r="S14" i="1" s="1"/>
  <c r="V14" i="1" s="1"/>
  <c r="U65" i="1" a="1"/>
  <c r="U65" i="1" s="1"/>
  <c r="AE65" i="1" s="1"/>
  <c r="U49" i="1" a="1"/>
  <c r="U49" i="1" s="1"/>
  <c r="AE49" i="1" s="1"/>
  <c r="U37" i="1" a="1"/>
  <c r="U37" i="1" s="1"/>
  <c r="AE37" i="1" s="1"/>
  <c r="U24" i="1" a="1"/>
  <c r="U24" i="1" s="1"/>
  <c r="AE24" i="1" s="1"/>
  <c r="U82" i="1" a="1"/>
  <c r="U82" i="1" s="1"/>
  <c r="AE82" i="1" s="1"/>
  <c r="U45" i="1" a="1"/>
  <c r="U45" i="1" s="1"/>
  <c r="AE45" i="1" s="1"/>
  <c r="U62" i="1" a="1"/>
  <c r="U62" i="1" s="1"/>
  <c r="AE62" i="1" s="1"/>
  <c r="U86" i="1" a="1"/>
  <c r="U86" i="1" s="1"/>
  <c r="AE86" i="1" s="1"/>
  <c r="Y14" i="1" l="1" a="1"/>
  <c r="Y14" i="1" s="1"/>
  <c r="AF14" i="1" s="1"/>
  <c r="AF96" i="1" s="1"/>
  <c r="AH14" i="1"/>
  <c r="U90" i="1" a="1"/>
  <c r="U90" i="1" s="1"/>
  <c r="AE90" i="1" s="1"/>
  <c r="U64" i="1" a="1"/>
  <c r="U64" i="1" s="1"/>
  <c r="AE64" i="1" s="1"/>
  <c r="U32" i="1" a="1"/>
  <c r="U32" i="1" s="1"/>
  <c r="AE32" i="1" s="1"/>
  <c r="U85" i="1" a="1"/>
  <c r="U85" i="1" s="1"/>
  <c r="AE85" i="1" s="1"/>
  <c r="U68" i="1" a="1"/>
  <c r="U68" i="1" s="1"/>
  <c r="AE68" i="1" s="1"/>
  <c r="U35" i="1" a="1"/>
  <c r="U35" i="1" s="1"/>
  <c r="AE35" i="1" s="1"/>
  <c r="U87" i="1" a="1"/>
  <c r="U87" i="1" s="1"/>
  <c r="AE87" i="1" s="1"/>
  <c r="T90" i="1" a="1"/>
  <c r="T90" i="1" s="1"/>
  <c r="AD90" i="1" s="1"/>
  <c r="T82" i="1" a="1"/>
  <c r="T82" i="1" s="1"/>
  <c r="AD82" i="1" s="1"/>
  <c r="T74" i="1" a="1"/>
  <c r="T74" i="1" s="1"/>
  <c r="AD74" i="1" s="1"/>
  <c r="T66" i="1" a="1"/>
  <c r="T66" i="1" s="1"/>
  <c r="AD66" i="1" s="1"/>
  <c r="T58" i="1" a="1"/>
  <c r="T58" i="1" s="1"/>
  <c r="AD58" i="1" s="1"/>
  <c r="T50" i="1" a="1"/>
  <c r="T50" i="1" s="1"/>
  <c r="AD50" i="1" s="1"/>
  <c r="T42" i="1" a="1"/>
  <c r="T42" i="1" s="1"/>
  <c r="AD42" i="1" s="1"/>
  <c r="T34" i="1" a="1"/>
  <c r="T34" i="1" s="1"/>
  <c r="AD34" i="1" s="1"/>
  <c r="T26" i="1" a="1"/>
  <c r="T26" i="1" s="1"/>
  <c r="AD26" i="1" s="1"/>
  <c r="T18" i="1" a="1"/>
  <c r="T18" i="1" s="1"/>
  <c r="AD18" i="1" s="1"/>
  <c r="U46" i="1" a="1"/>
  <c r="U46" i="1" s="1"/>
  <c r="AE46" i="1" s="1"/>
  <c r="S93" i="1" a="1"/>
  <c r="S93" i="1" s="1"/>
  <c r="S85" i="1" a="1"/>
  <c r="S85" i="1" s="1"/>
  <c r="S77" i="1" a="1"/>
  <c r="S77" i="1" s="1"/>
  <c r="S69" i="1" a="1"/>
  <c r="S69" i="1" s="1"/>
  <c r="S61" i="1" a="1"/>
  <c r="S61" i="1" s="1"/>
  <c r="S53" i="1" a="1"/>
  <c r="S53" i="1" s="1"/>
  <c r="S45" i="1" a="1"/>
  <c r="S45" i="1" s="1"/>
  <c r="S37" i="1" a="1"/>
  <c r="S37" i="1" s="1"/>
  <c r="S29" i="1" a="1"/>
  <c r="S29" i="1" s="1"/>
  <c r="S21" i="1" a="1"/>
  <c r="S21" i="1" s="1"/>
  <c r="U19" i="1" a="1"/>
  <c r="U19" i="1" s="1"/>
  <c r="AE19" i="1" s="1"/>
  <c r="U55" i="1" a="1"/>
  <c r="U55" i="1" s="1"/>
  <c r="AE55" i="1" s="1"/>
  <c r="T89" i="1" a="1"/>
  <c r="T89" i="1" s="1"/>
  <c r="AD89" i="1" s="1"/>
  <c r="T81" i="1" a="1"/>
  <c r="T81" i="1" s="1"/>
  <c r="AD81" i="1" s="1"/>
  <c r="T73" i="1" a="1"/>
  <c r="T73" i="1" s="1"/>
  <c r="AD73" i="1" s="1"/>
  <c r="T65" i="1" a="1"/>
  <c r="T65" i="1" s="1"/>
  <c r="AD65" i="1" s="1"/>
  <c r="T57" i="1" a="1"/>
  <c r="T57" i="1" s="1"/>
  <c r="AD57" i="1" s="1"/>
  <c r="T49" i="1" a="1"/>
  <c r="T49" i="1" s="1"/>
  <c r="AD49" i="1" s="1"/>
  <c r="T41" i="1" a="1"/>
  <c r="T41" i="1" s="1"/>
  <c r="AD41" i="1" s="1"/>
  <c r="T33" i="1" a="1"/>
  <c r="T33" i="1" s="1"/>
  <c r="AD33" i="1" s="1"/>
  <c r="T25" i="1" a="1"/>
  <c r="T25" i="1" s="1"/>
  <c r="AD25" i="1" s="1"/>
  <c r="T17" i="1" a="1"/>
  <c r="T17" i="1" s="1"/>
  <c r="AD17" i="1" s="1"/>
  <c r="U42" i="1" a="1"/>
  <c r="U42" i="1" s="1"/>
  <c r="AE42" i="1" s="1"/>
  <c r="S92" i="1" a="1"/>
  <c r="S92" i="1" s="1"/>
  <c r="S84" i="1" a="1"/>
  <c r="S84" i="1" s="1"/>
  <c r="S76" i="1" a="1"/>
  <c r="S76" i="1" s="1"/>
  <c r="S68" i="1" a="1"/>
  <c r="S68" i="1" s="1"/>
  <c r="S60" i="1" a="1"/>
  <c r="S60" i="1" s="1"/>
  <c r="S52" i="1" a="1"/>
  <c r="S52" i="1" s="1"/>
  <c r="S44" i="1" a="1"/>
  <c r="S44" i="1" s="1"/>
  <c r="S36" i="1" a="1"/>
  <c r="S36" i="1" s="1"/>
  <c r="S28" i="1" a="1"/>
  <c r="S28" i="1" s="1"/>
  <c r="S20" i="1" a="1"/>
  <c r="S20" i="1" s="1"/>
  <c r="U61" i="1" a="1"/>
  <c r="U61" i="1" s="1"/>
  <c r="AE61" i="1" s="1"/>
  <c r="U36" i="1" a="1"/>
  <c r="U36" i="1" s="1"/>
  <c r="AE36" i="1" s="1"/>
  <c r="U74" i="1" a="1"/>
  <c r="U74" i="1" s="1"/>
  <c r="AE74" i="1" s="1"/>
  <c r="U23" i="1" a="1"/>
  <c r="U23" i="1" s="1"/>
  <c r="AE23" i="1" s="1"/>
  <c r="T88" i="1" a="1"/>
  <c r="T88" i="1" s="1"/>
  <c r="AD88" i="1" s="1"/>
  <c r="T80" i="1" a="1"/>
  <c r="T80" i="1" s="1"/>
  <c r="AD80" i="1" s="1"/>
  <c r="T72" i="1" a="1"/>
  <c r="T72" i="1" s="1"/>
  <c r="AD72" i="1" s="1"/>
  <c r="T64" i="1" a="1"/>
  <c r="T64" i="1" s="1"/>
  <c r="AD64" i="1" s="1"/>
  <c r="T56" i="1" a="1"/>
  <c r="T56" i="1" s="1"/>
  <c r="AD56" i="1" s="1"/>
  <c r="T48" i="1" a="1"/>
  <c r="T48" i="1" s="1"/>
  <c r="AD48" i="1" s="1"/>
  <c r="T40" i="1" a="1"/>
  <c r="T40" i="1" s="1"/>
  <c r="AD40" i="1" s="1"/>
  <c r="T32" i="1" a="1"/>
  <c r="T32" i="1" s="1"/>
  <c r="AD32" i="1" s="1"/>
  <c r="T24" i="1" a="1"/>
  <c r="T24" i="1" s="1"/>
  <c r="AD24" i="1" s="1"/>
  <c r="T16" i="1" a="1"/>
  <c r="T16" i="1" s="1"/>
  <c r="AD16" i="1" s="1"/>
  <c r="U38" i="1" a="1"/>
  <c r="U38" i="1" s="1"/>
  <c r="AE38" i="1" s="1"/>
  <c r="S91" i="1" a="1"/>
  <c r="S91" i="1" s="1"/>
  <c r="S83" i="1" a="1"/>
  <c r="S83" i="1" s="1"/>
  <c r="S75" i="1" a="1"/>
  <c r="S75" i="1" s="1"/>
  <c r="S67" i="1" a="1"/>
  <c r="S67" i="1" s="1"/>
  <c r="S59" i="1" a="1"/>
  <c r="S59" i="1" s="1"/>
  <c r="S51" i="1" a="1"/>
  <c r="S51" i="1" s="1"/>
  <c r="S43" i="1" a="1"/>
  <c r="S43" i="1" s="1"/>
  <c r="S35" i="1" a="1"/>
  <c r="S35" i="1" s="1"/>
  <c r="S27" i="1" a="1"/>
  <c r="S27" i="1" s="1"/>
  <c r="S19" i="1" a="1"/>
  <c r="S19" i="1" s="1"/>
  <c r="U34" i="1" a="1"/>
  <c r="U34" i="1" s="1"/>
  <c r="AE34" i="1" s="1"/>
  <c r="S74" i="1" a="1"/>
  <c r="S74" i="1" s="1"/>
  <c r="S66" i="1" a="1"/>
  <c r="S66" i="1" s="1"/>
  <c r="S58" i="1" a="1"/>
  <c r="S58" i="1" s="1"/>
  <c r="S50" i="1" a="1"/>
  <c r="S50" i="1" s="1"/>
  <c r="S42" i="1" a="1"/>
  <c r="S42" i="1" s="1"/>
  <c r="S34" i="1" a="1"/>
  <c r="S34" i="1" s="1"/>
  <c r="S26" i="1" a="1"/>
  <c r="S26" i="1" s="1"/>
  <c r="S18" i="1" a="1"/>
  <c r="S18" i="1" s="1"/>
  <c r="T47" i="1" a="1"/>
  <c r="T47" i="1" s="1"/>
  <c r="AD47" i="1" s="1"/>
  <c r="T23" i="1" a="1"/>
  <c r="T23" i="1" s="1"/>
  <c r="AD23" i="1" s="1"/>
  <c r="S82" i="1" a="1"/>
  <c r="S82" i="1" s="1"/>
  <c r="U77" i="1" a="1"/>
  <c r="U77" i="1" s="1"/>
  <c r="AE77" i="1" s="1"/>
  <c r="U52" i="1" a="1"/>
  <c r="U52" i="1" s="1"/>
  <c r="AE52" i="1" s="1"/>
  <c r="U31" i="1" a="1"/>
  <c r="U31" i="1" s="1"/>
  <c r="AE31" i="1" s="1"/>
  <c r="U91" i="1" a="1"/>
  <c r="U91" i="1" s="1"/>
  <c r="AE91" i="1" s="1"/>
  <c r="T86" i="1" a="1"/>
  <c r="T86" i="1" s="1"/>
  <c r="AD86" i="1" s="1"/>
  <c r="T70" i="1" a="1"/>
  <c r="T70" i="1" s="1"/>
  <c r="AD70" i="1" s="1"/>
  <c r="T62" i="1" a="1"/>
  <c r="T62" i="1" s="1"/>
  <c r="AD62" i="1" s="1"/>
  <c r="T54" i="1" a="1"/>
  <c r="T54" i="1" s="1"/>
  <c r="AD54" i="1" s="1"/>
  <c r="T46" i="1" a="1"/>
  <c r="T46" i="1" s="1"/>
  <c r="AD46" i="1" s="1"/>
  <c r="T38" i="1" a="1"/>
  <c r="T38" i="1" s="1"/>
  <c r="AD38" i="1" s="1"/>
  <c r="T30" i="1" a="1"/>
  <c r="T30" i="1" s="1"/>
  <c r="AD30" i="1" s="1"/>
  <c r="T22" i="1" a="1"/>
  <c r="T22" i="1" s="1"/>
  <c r="AD22" i="1" s="1"/>
  <c r="U14" i="1" a="1"/>
  <c r="U14" i="1" s="1"/>
  <c r="AE14" i="1" s="1"/>
  <c r="U30" i="1" a="1"/>
  <c r="U30" i="1" s="1"/>
  <c r="AE30" i="1" s="1"/>
  <c r="S89" i="1" a="1"/>
  <c r="S89" i="1" s="1"/>
  <c r="S81" i="1" a="1"/>
  <c r="S81" i="1" s="1"/>
  <c r="S73" i="1" a="1"/>
  <c r="S73" i="1" s="1"/>
  <c r="S65" i="1" a="1"/>
  <c r="S65" i="1" s="1"/>
  <c r="S57" i="1" a="1"/>
  <c r="S57" i="1" s="1"/>
  <c r="S49" i="1" a="1"/>
  <c r="S49" i="1" s="1"/>
  <c r="S41" i="1" a="1"/>
  <c r="S41" i="1" s="1"/>
  <c r="S33" i="1" a="1"/>
  <c r="S33" i="1" s="1"/>
  <c r="S25" i="1" a="1"/>
  <c r="S25" i="1" s="1"/>
  <c r="S17" i="1" a="1"/>
  <c r="S17" i="1" s="1"/>
  <c r="T71" i="1" a="1"/>
  <c r="T71" i="1" s="1"/>
  <c r="AD71" i="1" s="1"/>
  <c r="T55" i="1" a="1"/>
  <c r="T55" i="1" s="1"/>
  <c r="AD55" i="1" s="1"/>
  <c r="T31" i="1" a="1"/>
  <c r="T31" i="1" s="1"/>
  <c r="AD31" i="1" s="1"/>
  <c r="T15" i="1" a="1"/>
  <c r="T15" i="1" s="1"/>
  <c r="AD15" i="1" s="1"/>
  <c r="S90" i="1" a="1"/>
  <c r="S90" i="1" s="1"/>
  <c r="U15" i="1" a="1"/>
  <c r="U15" i="1" s="1"/>
  <c r="AE15" i="1" s="1"/>
  <c r="U41" i="1" a="1"/>
  <c r="U41" i="1" s="1"/>
  <c r="AE41" i="1" s="1"/>
  <c r="U60" i="1" a="1"/>
  <c r="U60" i="1" s="1"/>
  <c r="AE60" i="1" s="1"/>
  <c r="U47" i="1" a="1"/>
  <c r="U47" i="1" s="1"/>
  <c r="AE47" i="1" s="1"/>
  <c r="U63" i="1" a="1"/>
  <c r="U63" i="1" s="1"/>
  <c r="AE63" i="1" s="1"/>
  <c r="U29" i="1" a="1"/>
  <c r="U29" i="1" s="1"/>
  <c r="AE29" i="1" s="1"/>
  <c r="U89" i="1" a="1"/>
  <c r="U89" i="1" s="1"/>
  <c r="AE89" i="1" s="1"/>
  <c r="T14" i="1" a="1"/>
  <c r="T14" i="1" s="1"/>
  <c r="AD14" i="1" s="1"/>
  <c r="T78" i="1" a="1"/>
  <c r="T78" i="1" s="1"/>
  <c r="AD78" i="1" s="1"/>
  <c r="U79" i="1" a="1"/>
  <c r="U79" i="1" s="1"/>
  <c r="AE79" i="1" s="1"/>
  <c r="U28" i="1" a="1"/>
  <c r="U28" i="1" s="1"/>
  <c r="AE28" i="1" s="1"/>
  <c r="U78" i="1" a="1"/>
  <c r="U78" i="1" s="1"/>
  <c r="AE78" i="1" s="1"/>
  <c r="U33" i="1" a="1"/>
  <c r="U33" i="1" s="1"/>
  <c r="AE33" i="1" s="1"/>
  <c r="U21" i="1" a="1"/>
  <c r="U21" i="1" s="1"/>
  <c r="AE21" i="1" s="1"/>
  <c r="U83" i="1" a="1"/>
  <c r="U83" i="1" s="1"/>
  <c r="AE83" i="1" s="1"/>
  <c r="U57" i="1" a="1"/>
  <c r="U57" i="1" s="1"/>
  <c r="AE57" i="1" s="1"/>
  <c r="T93" i="1" a="1"/>
  <c r="T93" i="1" s="1"/>
  <c r="AD93" i="1" s="1"/>
  <c r="T85" i="1" a="1"/>
  <c r="T85" i="1" s="1"/>
  <c r="AD85" i="1" s="1"/>
  <c r="T77" i="1" a="1"/>
  <c r="T77" i="1" s="1"/>
  <c r="AD77" i="1" s="1"/>
  <c r="T69" i="1" a="1"/>
  <c r="T69" i="1" s="1"/>
  <c r="AD69" i="1" s="1"/>
  <c r="T61" i="1" a="1"/>
  <c r="T61" i="1" s="1"/>
  <c r="AD61" i="1" s="1"/>
  <c r="T53" i="1" a="1"/>
  <c r="T53" i="1" s="1"/>
  <c r="AD53" i="1" s="1"/>
  <c r="T45" i="1" a="1"/>
  <c r="T45" i="1" s="1"/>
  <c r="AD45" i="1" s="1"/>
  <c r="T37" i="1" a="1"/>
  <c r="T37" i="1" s="1"/>
  <c r="AD37" i="1" s="1"/>
  <c r="T29" i="1" a="1"/>
  <c r="T29" i="1" s="1"/>
  <c r="AD29" i="1" s="1"/>
  <c r="T21" i="1" a="1"/>
  <c r="T21" i="1" s="1"/>
  <c r="AD21" i="1" s="1"/>
  <c r="U58" i="1" a="1"/>
  <c r="U58" i="1" s="1"/>
  <c r="AE58" i="1" s="1"/>
  <c r="U26" i="1" a="1"/>
  <c r="U26" i="1" s="1"/>
  <c r="AE26" i="1" s="1"/>
  <c r="S88" i="1" a="1"/>
  <c r="S88" i="1" s="1"/>
  <c r="S80" i="1" a="1"/>
  <c r="S80" i="1" s="1"/>
  <c r="S72" i="1" a="1"/>
  <c r="S72" i="1" s="1"/>
  <c r="S64" i="1" a="1"/>
  <c r="S64" i="1" s="1"/>
  <c r="S56" i="1" a="1"/>
  <c r="S56" i="1" s="1"/>
  <c r="S48" i="1" a="1"/>
  <c r="S48" i="1" s="1"/>
  <c r="S40" i="1" a="1"/>
  <c r="S40" i="1" s="1"/>
  <c r="S32" i="1" a="1"/>
  <c r="S32" i="1" s="1"/>
  <c r="S24" i="1" a="1"/>
  <c r="S24" i="1" s="1"/>
  <c r="S16" i="1" a="1"/>
  <c r="S16" i="1" s="1"/>
  <c r="T79" i="1" a="1"/>
  <c r="T79" i="1" s="1"/>
  <c r="AD79" i="1" s="1"/>
  <c r="U43" i="1" a="1"/>
  <c r="U43" i="1" s="1"/>
  <c r="AE43" i="1" s="1"/>
  <c r="U75" i="1" a="1"/>
  <c r="U75" i="1" s="1"/>
  <c r="AE75" i="1" s="1"/>
  <c r="U67" i="1" a="1"/>
  <c r="U67" i="1" s="1"/>
  <c r="AE67" i="1" s="1"/>
  <c r="U59" i="1" a="1"/>
  <c r="U59" i="1" s="1"/>
  <c r="AE59" i="1" s="1"/>
  <c r="T92" i="1" a="1"/>
  <c r="T92" i="1" s="1"/>
  <c r="AD92" i="1" s="1"/>
  <c r="T76" i="1" a="1"/>
  <c r="T76" i="1" s="1"/>
  <c r="AD76" i="1" s="1"/>
  <c r="T68" i="1" a="1"/>
  <c r="T68" i="1" s="1"/>
  <c r="AD68" i="1" s="1"/>
  <c r="T60" i="1" a="1"/>
  <c r="T60" i="1" s="1"/>
  <c r="AD60" i="1" s="1"/>
  <c r="T52" i="1" a="1"/>
  <c r="T52" i="1" s="1"/>
  <c r="AD52" i="1" s="1"/>
  <c r="T44" i="1" a="1"/>
  <c r="T44" i="1" s="1"/>
  <c r="AD44" i="1" s="1"/>
  <c r="T36" i="1" a="1"/>
  <c r="T36" i="1" s="1"/>
  <c r="AD36" i="1" s="1"/>
  <c r="T28" i="1" a="1"/>
  <c r="T28" i="1" s="1"/>
  <c r="AD28" i="1" s="1"/>
  <c r="T20" i="1" a="1"/>
  <c r="T20" i="1" s="1"/>
  <c r="AD20" i="1" s="1"/>
  <c r="U54" i="1" a="1"/>
  <c r="U54" i="1" s="1"/>
  <c r="AE54" i="1" s="1"/>
  <c r="U22" i="1" a="1"/>
  <c r="U22" i="1" s="1"/>
  <c r="AE22" i="1" s="1"/>
  <c r="S87" i="1" a="1"/>
  <c r="S87" i="1" s="1"/>
  <c r="S79" i="1" a="1"/>
  <c r="S79" i="1" s="1"/>
  <c r="S71" i="1" a="1"/>
  <c r="S71" i="1" s="1"/>
  <c r="S63" i="1" a="1"/>
  <c r="S63" i="1" s="1"/>
  <c r="S55" i="1" a="1"/>
  <c r="S55" i="1" s="1"/>
  <c r="S47" i="1" a="1"/>
  <c r="S47" i="1" s="1"/>
  <c r="S39" i="1" a="1"/>
  <c r="S39" i="1" s="1"/>
  <c r="S31" i="1" a="1"/>
  <c r="S31" i="1" s="1"/>
  <c r="S23" i="1" a="1"/>
  <c r="S23" i="1" s="1"/>
  <c r="S15" i="1" a="1"/>
  <c r="S15" i="1" s="1"/>
  <c r="T87" i="1" a="1"/>
  <c r="T87" i="1" s="1"/>
  <c r="AD87" i="1" s="1"/>
  <c r="T63" i="1" a="1"/>
  <c r="T63" i="1" s="1"/>
  <c r="AD63" i="1" s="1"/>
  <c r="T39" i="1" a="1"/>
  <c r="T39" i="1" s="1"/>
  <c r="AD39" i="1" s="1"/>
  <c r="U27" i="1" a="1"/>
  <c r="U27" i="1" s="1"/>
  <c r="AE27" i="1" s="1"/>
  <c r="U17" i="1" a="1"/>
  <c r="U17" i="1" s="1"/>
  <c r="AE17" i="1" s="1"/>
  <c r="U92" i="1" a="1"/>
  <c r="U92" i="1" s="1"/>
  <c r="AE92" i="1" s="1"/>
  <c r="U16" i="1" a="1"/>
  <c r="U16" i="1" s="1"/>
  <c r="AE16" i="1" s="1"/>
  <c r="U70" i="1" a="1"/>
  <c r="U70" i="1" s="1"/>
  <c r="AE70" i="1" s="1"/>
  <c r="U84" i="1" a="1"/>
  <c r="U84" i="1" s="1"/>
  <c r="AE84" i="1" s="1"/>
  <c r="U25" i="1" a="1"/>
  <c r="U25" i="1" s="1"/>
  <c r="AE25" i="1" s="1"/>
  <c r="T84" i="1" a="1"/>
  <c r="T84" i="1" s="1"/>
  <c r="AD84" i="1" s="1"/>
  <c r="U88" i="1" a="1"/>
  <c r="U88" i="1" s="1"/>
  <c r="AE88" i="1" s="1"/>
  <c r="U73" i="1" a="1"/>
  <c r="U73" i="1" s="1"/>
  <c r="AE73" i="1" s="1"/>
  <c r="U71" i="1" a="1"/>
  <c r="U71" i="1" s="1"/>
  <c r="AE71" i="1" s="1"/>
  <c r="U39" i="1" a="1"/>
  <c r="U39" i="1" s="1"/>
  <c r="AE39" i="1" s="1"/>
  <c r="U80" i="1" a="1"/>
  <c r="U80" i="1" s="1"/>
  <c r="AE80" i="1" s="1"/>
  <c r="U93" i="1" a="1"/>
  <c r="U93" i="1" s="1"/>
  <c r="AE93" i="1" s="1"/>
  <c r="U76" i="1" a="1"/>
  <c r="U76" i="1" s="1"/>
  <c r="AE76" i="1" s="1"/>
  <c r="U51" i="1" a="1"/>
  <c r="U51" i="1" s="1"/>
  <c r="AE51" i="1" s="1"/>
  <c r="U40" i="1" a="1"/>
  <c r="U40" i="1" s="1"/>
  <c r="AE40" i="1" s="1"/>
  <c r="T91" i="1" a="1"/>
  <c r="T91" i="1" s="1"/>
  <c r="AD91" i="1" s="1"/>
  <c r="T83" i="1" a="1"/>
  <c r="T83" i="1" s="1"/>
  <c r="AD83" i="1" s="1"/>
  <c r="T75" i="1" a="1"/>
  <c r="T75" i="1" s="1"/>
  <c r="AD75" i="1" s="1"/>
  <c r="T67" i="1" a="1"/>
  <c r="T67" i="1" s="1"/>
  <c r="AD67" i="1" s="1"/>
  <c r="T59" i="1" a="1"/>
  <c r="T59" i="1" s="1"/>
  <c r="AD59" i="1" s="1"/>
  <c r="T51" i="1" a="1"/>
  <c r="T51" i="1" s="1"/>
  <c r="AD51" i="1" s="1"/>
  <c r="T43" i="1" a="1"/>
  <c r="T43" i="1" s="1"/>
  <c r="AD43" i="1" s="1"/>
  <c r="T35" i="1" a="1"/>
  <c r="T35" i="1" s="1"/>
  <c r="AD35" i="1" s="1"/>
  <c r="T27" i="1" a="1"/>
  <c r="T27" i="1" s="1"/>
  <c r="AD27" i="1" s="1"/>
  <c r="T19" i="1" a="1"/>
  <c r="T19" i="1" s="1"/>
  <c r="AD19" i="1" s="1"/>
  <c r="U50" i="1" a="1"/>
  <c r="U50" i="1" s="1"/>
  <c r="AE50" i="1" s="1"/>
  <c r="S86" i="1" a="1"/>
  <c r="S86" i="1" s="1"/>
  <c r="S78" i="1" a="1"/>
  <c r="S78" i="1" s="1"/>
  <c r="S70" i="1" a="1"/>
  <c r="S70" i="1" s="1"/>
  <c r="S62" i="1" a="1"/>
  <c r="S62" i="1" s="1"/>
  <c r="S54" i="1" a="1"/>
  <c r="S54" i="1" s="1"/>
  <c r="S46" i="1" a="1"/>
  <c r="S46" i="1" s="1"/>
  <c r="S38" i="1" a="1"/>
  <c r="S38" i="1" s="1"/>
  <c r="S30" i="1" a="1"/>
  <c r="S30" i="1" s="1"/>
  <c r="S22" i="1" a="1"/>
  <c r="S22" i="1" s="1"/>
  <c r="V54" i="1" l="1"/>
  <c r="AG54" i="1" s="1"/>
  <c r="AH54" i="1"/>
  <c r="V47" i="1"/>
  <c r="AG47" i="1" s="1"/>
  <c r="AH47" i="1"/>
  <c r="V80" i="1"/>
  <c r="AG80" i="1" s="1"/>
  <c r="AH80" i="1"/>
  <c r="V90" i="1"/>
  <c r="AG90" i="1" s="1"/>
  <c r="AH90" i="1"/>
  <c r="V57" i="1"/>
  <c r="AG57" i="1" s="1"/>
  <c r="AH57" i="1"/>
  <c r="V91" i="1"/>
  <c r="AG91" i="1" s="1"/>
  <c r="AH91" i="1"/>
  <c r="V52" i="1"/>
  <c r="AG52" i="1" s="1"/>
  <c r="AH52" i="1"/>
  <c r="V29" i="1"/>
  <c r="AG29" i="1" s="1"/>
  <c r="AH29" i="1"/>
  <c r="V22" i="1"/>
  <c r="AG22" i="1" s="1"/>
  <c r="AH22" i="1"/>
  <c r="V62" i="1"/>
  <c r="AG62" i="1" s="1"/>
  <c r="AH62" i="1"/>
  <c r="V55" i="1"/>
  <c r="AG55" i="1" s="1"/>
  <c r="AH55" i="1"/>
  <c r="V88" i="1"/>
  <c r="AG88" i="1" s="1"/>
  <c r="AH88" i="1"/>
  <c r="V65" i="1"/>
  <c r="AG65" i="1" s="1"/>
  <c r="AH65" i="1"/>
  <c r="V19" i="1"/>
  <c r="AG19" i="1" s="1"/>
  <c r="AH19" i="1"/>
  <c r="V60" i="1"/>
  <c r="AG60" i="1" s="1"/>
  <c r="AH60" i="1"/>
  <c r="V37" i="1"/>
  <c r="AG37" i="1" s="1"/>
  <c r="AH37" i="1"/>
  <c r="V70" i="1"/>
  <c r="AG70" i="1" s="1"/>
  <c r="AH70" i="1"/>
  <c r="V63" i="1"/>
  <c r="AG63" i="1" s="1"/>
  <c r="AH63" i="1"/>
  <c r="V16" i="1"/>
  <c r="AG16" i="1" s="1"/>
  <c r="AH16" i="1"/>
  <c r="AD96" i="1"/>
  <c r="V73" i="1"/>
  <c r="AG73" i="1" s="1"/>
  <c r="AH73" i="1"/>
  <c r="V18" i="1"/>
  <c r="AG18" i="1" s="1"/>
  <c r="AH18" i="1"/>
  <c r="V27" i="1"/>
  <c r="AG27" i="1" s="1"/>
  <c r="AH27" i="1"/>
  <c r="V68" i="1"/>
  <c r="AG68" i="1" s="1"/>
  <c r="AH68" i="1"/>
  <c r="V45" i="1"/>
  <c r="AG45" i="1" s="1"/>
  <c r="AH45" i="1"/>
  <c r="V78" i="1"/>
  <c r="AG78" i="1" s="1"/>
  <c r="AH78" i="1"/>
  <c r="V71" i="1"/>
  <c r="AG71" i="1" s="1"/>
  <c r="AH71" i="1"/>
  <c r="V24" i="1"/>
  <c r="AG24" i="1" s="1"/>
  <c r="AH24" i="1"/>
  <c r="V81" i="1"/>
  <c r="AG81" i="1" s="1"/>
  <c r="AH81" i="1"/>
  <c r="V26" i="1"/>
  <c r="AG26" i="1" s="1"/>
  <c r="AH26" i="1"/>
  <c r="V35" i="1"/>
  <c r="AG35" i="1" s="1"/>
  <c r="AH35" i="1"/>
  <c r="V76" i="1"/>
  <c r="AG76" i="1" s="1"/>
  <c r="AH76" i="1"/>
  <c r="V53" i="1"/>
  <c r="AG53" i="1" s="1"/>
  <c r="AH53" i="1"/>
  <c r="V86" i="1"/>
  <c r="AG86" i="1" s="1"/>
  <c r="AH86" i="1"/>
  <c r="V79" i="1"/>
  <c r="AG79" i="1" s="1"/>
  <c r="AH79" i="1"/>
  <c r="V32" i="1"/>
  <c r="AG32" i="1" s="1"/>
  <c r="AH32" i="1"/>
  <c r="V89" i="1"/>
  <c r="AG89" i="1" s="1"/>
  <c r="AH89" i="1"/>
  <c r="V34" i="1"/>
  <c r="AG34" i="1" s="1"/>
  <c r="AH34" i="1"/>
  <c r="V43" i="1"/>
  <c r="AG43" i="1" s="1"/>
  <c r="AH43" i="1"/>
  <c r="V84" i="1"/>
  <c r="AG84" i="1" s="1"/>
  <c r="AH84" i="1"/>
  <c r="V61" i="1"/>
  <c r="AG61" i="1" s="1"/>
  <c r="AH61" i="1"/>
  <c r="V87" i="1"/>
  <c r="AG87" i="1" s="1"/>
  <c r="AH87" i="1"/>
  <c r="V40" i="1"/>
  <c r="AG40" i="1" s="1"/>
  <c r="AH40" i="1"/>
  <c r="V17" i="1"/>
  <c r="AG17" i="1" s="1"/>
  <c r="AH17" i="1"/>
  <c r="V42" i="1"/>
  <c r="AG42" i="1" s="1"/>
  <c r="AH42" i="1"/>
  <c r="V51" i="1"/>
  <c r="AG51" i="1" s="1"/>
  <c r="AH51" i="1"/>
  <c r="V92" i="1"/>
  <c r="AG92" i="1" s="1"/>
  <c r="AH92" i="1"/>
  <c r="V69" i="1"/>
  <c r="AG69" i="1" s="1"/>
  <c r="AH69" i="1"/>
  <c r="V15" i="1"/>
  <c r="AG15" i="1" s="1"/>
  <c r="AH15" i="1"/>
  <c r="V48" i="1"/>
  <c r="AG48" i="1" s="1"/>
  <c r="AH48" i="1"/>
  <c r="V25" i="1"/>
  <c r="AG25" i="1" s="1"/>
  <c r="AH25" i="1"/>
  <c r="V50" i="1"/>
  <c r="AG50" i="1" s="1"/>
  <c r="AH50" i="1"/>
  <c r="V59" i="1"/>
  <c r="AG59" i="1" s="1"/>
  <c r="AH59" i="1"/>
  <c r="V20" i="1"/>
  <c r="AG20" i="1" s="1"/>
  <c r="AH20" i="1"/>
  <c r="V77" i="1"/>
  <c r="AG77" i="1" s="1"/>
  <c r="AH77" i="1"/>
  <c r="V30" i="1"/>
  <c r="AG30" i="1" s="1"/>
  <c r="AH30" i="1"/>
  <c r="V23" i="1"/>
  <c r="AG23" i="1" s="1"/>
  <c r="AH23" i="1"/>
  <c r="V56" i="1"/>
  <c r="AG56" i="1" s="1"/>
  <c r="AH56" i="1"/>
  <c r="V33" i="1"/>
  <c r="AG33" i="1" s="1"/>
  <c r="AH33" i="1"/>
  <c r="V58" i="1"/>
  <c r="AG58" i="1" s="1"/>
  <c r="AH58" i="1"/>
  <c r="V67" i="1"/>
  <c r="AG67" i="1" s="1"/>
  <c r="AH67" i="1"/>
  <c r="V28" i="1"/>
  <c r="AG28" i="1" s="1"/>
  <c r="AH28" i="1"/>
  <c r="V85" i="1"/>
  <c r="AG85" i="1" s="1"/>
  <c r="AH85" i="1"/>
  <c r="V38" i="1"/>
  <c r="AG38" i="1" s="1"/>
  <c r="AH38" i="1"/>
  <c r="V31" i="1"/>
  <c r="AG31" i="1" s="1"/>
  <c r="AH31" i="1"/>
  <c r="V64" i="1"/>
  <c r="AG64" i="1" s="1"/>
  <c r="AH64" i="1"/>
  <c r="V41" i="1"/>
  <c r="AG41" i="1" s="1"/>
  <c r="AH41" i="1"/>
  <c r="V66" i="1"/>
  <c r="AG66" i="1" s="1"/>
  <c r="AH66" i="1"/>
  <c r="V75" i="1"/>
  <c r="AG75" i="1" s="1"/>
  <c r="AH75" i="1"/>
  <c r="V36" i="1"/>
  <c r="AG36" i="1" s="1"/>
  <c r="AH36" i="1"/>
  <c r="V93" i="1"/>
  <c r="AG93" i="1" s="1"/>
  <c r="AH93" i="1"/>
  <c r="V46" i="1"/>
  <c r="AG46" i="1" s="1"/>
  <c r="AH46" i="1"/>
  <c r="V39" i="1"/>
  <c r="AG39" i="1" s="1"/>
  <c r="AH39" i="1"/>
  <c r="V72" i="1"/>
  <c r="AG72" i="1" s="1"/>
  <c r="AH72" i="1"/>
  <c r="V49" i="1"/>
  <c r="AG49" i="1" s="1"/>
  <c r="AH49" i="1"/>
  <c r="V82" i="1"/>
  <c r="AG82" i="1" s="1"/>
  <c r="AH82" i="1"/>
  <c r="V74" i="1"/>
  <c r="AG74" i="1" s="1"/>
  <c r="AH74" i="1"/>
  <c r="V83" i="1"/>
  <c r="AG83" i="1" s="1"/>
  <c r="AH83" i="1"/>
  <c r="V44" i="1"/>
  <c r="AG44" i="1" s="1"/>
  <c r="AH44" i="1"/>
  <c r="V21" i="1"/>
  <c r="AG21" i="1" s="1"/>
  <c r="AH21" i="1"/>
  <c r="AG14" i="1"/>
  <c r="AH96" i="1" l="1"/>
  <c r="AG96" i="1"/>
  <c r="U66" i="1" a="1"/>
  <c r="U66" i="1" s="1"/>
  <c r="AE66" i="1" s="1"/>
  <c r="U20" i="1" a="1"/>
  <c r="U20" i="1" s="1"/>
  <c r="AE20" i="1" s="1"/>
  <c r="U53" i="1" a="1"/>
  <c r="U53" i="1" s="1"/>
  <c r="AE53" i="1" s="1"/>
  <c r="U69" i="1" a="1"/>
  <c r="U69" i="1" s="1"/>
  <c r="AE69" i="1" s="1"/>
  <c r="U48" i="1" a="1"/>
  <c r="U48" i="1" s="1"/>
  <c r="AE48" i="1" s="1"/>
  <c r="U56" i="1" a="1"/>
  <c r="U56" i="1" s="1"/>
  <c r="AE56" i="1" s="1"/>
  <c r="U72" i="1" a="1"/>
  <c r="U72" i="1" s="1"/>
  <c r="AE72" i="1" s="1"/>
  <c r="U81" i="1" a="1"/>
  <c r="U81" i="1"/>
  <c r="AE81" i="1"/>
  <c r="U44" i="1" a="1"/>
  <c r="U44" i="1"/>
  <c r="AE44" i="1"/>
  <c r="AE96" i="1"/>
  <c r="AJ9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<sst xmlns="http://schemas.openxmlformats.org/spreadsheetml/2006/main" count="50" uniqueCount="42">
  <si>
    <t>semana_año</t>
  </si>
  <si>
    <t>producto_idx</t>
  </si>
  <si>
    <t>tienda_idx</t>
  </si>
  <si>
    <t>precio_optimo</t>
  </si>
  <si>
    <t>pedido_optimo_sem1_horizonte</t>
  </si>
  <si>
    <t>demanda_promedio_sem1_horizonte</t>
  </si>
  <si>
    <t>shortage_promedio_sem1_horizonte</t>
  </si>
  <si>
    <t>inventario_inicial_sem1_horizonte</t>
  </si>
  <si>
    <t>inventario_final_sem1_horizonte</t>
  </si>
  <si>
    <t>id</t>
  </si>
  <si>
    <t>fecha</t>
  </si>
  <si>
    <t>d_producto_1</t>
  </si>
  <si>
    <t>d_producto_2</t>
  </si>
  <si>
    <t>d_producto_3</t>
  </si>
  <si>
    <t>d_producto_4</t>
  </si>
  <si>
    <t>d_producto_5</t>
  </si>
  <si>
    <t>d_producto_6</t>
  </si>
  <si>
    <t>d_producto_7</t>
  </si>
  <si>
    <t>d_producto_8</t>
  </si>
  <si>
    <t>d_producto_9</t>
  </si>
  <si>
    <t>d_producto_10</t>
  </si>
  <si>
    <t>binaria_ordenar</t>
  </si>
  <si>
    <t>Venta</t>
  </si>
  <si>
    <t>tienda</t>
  </si>
  <si>
    <t>semana</t>
  </si>
  <si>
    <t>producto</t>
  </si>
  <si>
    <t>precio_opt</t>
  </si>
  <si>
    <t>demanda_real</t>
  </si>
  <si>
    <t>orden_inv_opt</t>
  </si>
  <si>
    <t>inventario_disp</t>
  </si>
  <si>
    <t>demanda_insatisfecha</t>
  </si>
  <si>
    <t>costo_orden</t>
  </si>
  <si>
    <t>Costo prod (M$)</t>
  </si>
  <si>
    <t>Costo fijo (M$)</t>
  </si>
  <si>
    <t>venta</t>
  </si>
  <si>
    <t>costo_var</t>
  </si>
  <si>
    <t>costo_fij</t>
  </si>
  <si>
    <t>costo_orden_fijo</t>
  </si>
  <si>
    <t>binaria_orden</t>
  </si>
  <si>
    <t>costo_dem_ins</t>
  </si>
  <si>
    <t>Utilidad</t>
  </si>
  <si>
    <t>costo_inv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</si>
</sst>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1" fontId="1" fillId="0" borderId="0" xfId="0" applyNumberFormat="1" applyFont="1"/>
    <xf numFmtId="0" fontId="2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6"/>
  <sheetViews>
    <sheetView tabSelected="1" topLeftCell="N1" zoomScale="85" workbookViewId="0">
      <selection activeCell="V13" sqref="V13"/>
    </sheetView>
  </sheetViews>
  <sheetFormatPr baseColWidth="10" defaultColWidth="8.83203125" defaultRowHeight="15" x14ac:dyDescent="0.2"/>
  <cols>
    <col min="1" max="1" width="10.6640625" bestFit="1" customWidth="1"/>
    <col min="2" max="2" width="11.5" bestFit="1" customWidth="1"/>
    <col min="3" max="3" width="9.1640625" bestFit="1" customWidth="1"/>
    <col min="4" max="4" width="12.5" bestFit="1" customWidth="1"/>
    <col min="5" max="5" width="26.33203125" bestFit="1" customWidth="1"/>
    <col min="6" max="6" width="30" bestFit="1" customWidth="1"/>
    <col min="7" max="7" width="29.5" bestFit="1" customWidth="1"/>
    <col min="8" max="8" width="28" bestFit="1" customWidth="1"/>
    <col min="9" max="9" width="26.6640625" bestFit="1" customWidth="1"/>
    <col min="10" max="10" width="13.33203125" bestFit="1" customWidth="1"/>
    <col min="15" max="15" width="6.83203125" bestFit="1" customWidth="1"/>
    <col min="16" max="16" width="6" bestFit="1" customWidth="1"/>
    <col min="17" max="17" width="8.33203125" bestFit="1" customWidth="1"/>
    <col min="18" max="18" width="11.83203125" bestFit="1" customWidth="1"/>
    <col min="19" max="19" width="13" bestFit="1" customWidth="1"/>
    <col min="20" max="20" width="10.1640625" bestFit="1" customWidth="1"/>
    <col min="21" max="21" width="12.33203125" bestFit="1" customWidth="1"/>
    <col min="22" max="22" width="18" customWidth="1"/>
    <col min="23" max="23" width="14.6640625" customWidth="1"/>
    <col min="24" max="24" width="14.5" customWidth="1"/>
    <col min="25" max="25" width="13.5" customWidth="1"/>
    <col min="26" max="26" width="14" customWidth="1"/>
    <col min="27" max="27" width="13.1640625" customWidth="1"/>
    <col min="28" max="28" width="12.83203125" customWidth="1"/>
    <col min="30" max="30" width="18.1640625" customWidth="1"/>
    <col min="31" max="31" width="15" customWidth="1"/>
    <col min="32" max="32" width="16" customWidth="1"/>
    <col min="33" max="33" width="14.6640625" customWidth="1"/>
    <col min="34" max="34" width="14.83203125" customWidth="1"/>
    <col min="35" max="35" width="14.33203125" customWidth="1"/>
    <col min="36" max="36" width="12.1640625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21</v>
      </c>
      <c r="O1" s="2" t="s">
        <v>24</v>
      </c>
      <c r="P1" t="s">
        <v>9</v>
      </c>
      <c r="Q1" s="2" t="s">
        <v>23</v>
      </c>
      <c r="R1" t="s">
        <v>10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E1">
        <v>0</v>
      </c>
      <c r="AF1">
        <v>1</v>
      </c>
      <c r="AG1">
        <v>2</v>
      </c>
      <c r="AH1">
        <v>3</v>
      </c>
      <c r="AI1">
        <v>4</v>
      </c>
      <c r="AJ1">
        <v>5</v>
      </c>
      <c r="AK1">
        <v>6</v>
      </c>
      <c r="AL1">
        <v>7</v>
      </c>
      <c r="AM1">
        <v>8</v>
      </c>
      <c r="AN1">
        <v>9</v>
      </c>
    </row>
    <row r="2" spans="1:40" x14ac:dyDescent="0.2">
      <c r="A2" s="5">
        <f>1+0</f>
        <v>1</v>
      </c>
      <c r="B2" s="3">
        <v>0</v>
      </c>
      <c r="C2" s="3">
        <v>0</v>
      </c>
      <c r="D2" s="7">
        <v>32.699090463764499</v>
      </c>
      <c r="E2" s="7">
        <v>0</v>
      </c>
      <c r="F2" s="7">
        <v>1410.18</v>
      </c>
      <c r="G2" s="7">
        <v>0</v>
      </c>
      <c r="H2" s="7">
        <v>3404</v>
      </c>
      <c r="I2" s="7">
        <v>1993.8199999998899</v>
      </c>
      <c r="J2">
        <f>IF(E2&lt;0.01, 0, 1)</f>
        <v>0</v>
      </c>
      <c r="O2">
        <v>1</v>
      </c>
      <c r="P2">
        <v>210</v>
      </c>
      <c r="Q2">
        <v>0</v>
      </c>
      <c r="R2" s="1">
        <v>45660</v>
      </c>
      <c r="S2">
        <v>1689</v>
      </c>
      <c r="T2">
        <v>5826</v>
      </c>
      <c r="U2">
        <v>3583</v>
      </c>
      <c r="V2">
        <v>1437</v>
      </c>
      <c r="W2">
        <v>9284</v>
      </c>
      <c r="X2">
        <v>2897</v>
      </c>
      <c r="Y2">
        <v>4640</v>
      </c>
      <c r="Z2">
        <v>2436</v>
      </c>
      <c r="AA2">
        <v>2962</v>
      </c>
      <c r="AB2">
        <v>6578</v>
      </c>
      <c r="AD2" s="6" t="s">
        <v>32</v>
      </c>
      <c r="AE2">
        <v>28.792000000000002</v>
      </c>
      <c r="AF2">
        <v>20.792000000000002</v>
      </c>
      <c r="AG2">
        <v>31.992000000000004</v>
      </c>
      <c r="AH2">
        <v>52.792000000000002</v>
      </c>
      <c r="AI2">
        <v>25.591999999999999</v>
      </c>
      <c r="AJ2">
        <v>44.800000000000004</v>
      </c>
      <c r="AK2">
        <v>62.993000000000002</v>
      </c>
      <c r="AL2">
        <v>46.4925</v>
      </c>
      <c r="AM2">
        <v>32.391900000000007</v>
      </c>
      <c r="AN2">
        <v>17.591999999999999</v>
      </c>
    </row>
    <row r="3" spans="1:40" x14ac:dyDescent="0.2">
      <c r="A3" s="3">
        <v>1</v>
      </c>
      <c r="B3" s="3">
        <v>0</v>
      </c>
      <c r="C3" s="3">
        <v>1</v>
      </c>
      <c r="D3" s="7">
        <v>38.656140927389899</v>
      </c>
      <c r="E3" s="7">
        <v>0</v>
      </c>
      <c r="F3" s="7">
        <v>1541.835</v>
      </c>
      <c r="G3" s="7">
        <v>0</v>
      </c>
      <c r="H3" s="7">
        <v>4121</v>
      </c>
      <c r="I3" s="7">
        <v>2579.165</v>
      </c>
      <c r="J3">
        <f t="shared" ref="J3:J66" si="0">IF(E3&lt;0.01, 0, 1)</f>
        <v>0</v>
      </c>
      <c r="O3">
        <v>2</v>
      </c>
      <c r="P3">
        <v>211</v>
      </c>
      <c r="Q3">
        <v>0</v>
      </c>
      <c r="R3" s="1">
        <v>45667</v>
      </c>
      <c r="S3">
        <v>1206</v>
      </c>
      <c r="T3">
        <v>4295</v>
      </c>
      <c r="U3">
        <v>3798</v>
      </c>
      <c r="V3">
        <v>932</v>
      </c>
      <c r="W3">
        <v>4038</v>
      </c>
      <c r="X3">
        <v>2339</v>
      </c>
      <c r="Y3">
        <v>4964</v>
      </c>
      <c r="Z3">
        <v>3662</v>
      </c>
      <c r="AA3">
        <v>4255</v>
      </c>
      <c r="AB3">
        <v>6456</v>
      </c>
      <c r="AD3" s="6" t="s">
        <v>33</v>
      </c>
      <c r="AE3">
        <v>530</v>
      </c>
      <c r="AF3">
        <v>530</v>
      </c>
      <c r="AG3">
        <v>530</v>
      </c>
      <c r="AH3">
        <v>320</v>
      </c>
      <c r="AI3">
        <v>530</v>
      </c>
      <c r="AJ3">
        <v>530</v>
      </c>
      <c r="AK3">
        <v>780</v>
      </c>
      <c r="AL3">
        <v>530</v>
      </c>
      <c r="AM3">
        <v>530</v>
      </c>
      <c r="AN3">
        <v>530</v>
      </c>
    </row>
    <row r="4" spans="1:40" x14ac:dyDescent="0.2">
      <c r="A4" s="3">
        <v>1</v>
      </c>
      <c r="B4" s="3">
        <v>1</v>
      </c>
      <c r="C4" s="3">
        <v>0</v>
      </c>
      <c r="D4" s="7">
        <v>26.632733531396699</v>
      </c>
      <c r="E4" s="7">
        <v>0</v>
      </c>
      <c r="F4" s="7">
        <v>3706.25</v>
      </c>
      <c r="G4" s="7">
        <v>0</v>
      </c>
      <c r="H4" s="7">
        <v>8666</v>
      </c>
      <c r="I4" s="7">
        <v>4959.75</v>
      </c>
      <c r="J4">
        <f t="shared" si="0"/>
        <v>0</v>
      </c>
      <c r="O4">
        <v>3</v>
      </c>
      <c r="P4">
        <v>212</v>
      </c>
      <c r="Q4">
        <v>0</v>
      </c>
      <c r="R4" s="1">
        <v>45674</v>
      </c>
      <c r="S4">
        <v>3263</v>
      </c>
      <c r="T4">
        <v>6129</v>
      </c>
      <c r="U4">
        <v>3229</v>
      </c>
      <c r="V4">
        <v>1841</v>
      </c>
      <c r="W4">
        <v>7446</v>
      </c>
      <c r="X4">
        <v>1818</v>
      </c>
      <c r="Y4">
        <v>3384</v>
      </c>
      <c r="Z4">
        <v>2208</v>
      </c>
      <c r="AA4">
        <v>2003</v>
      </c>
      <c r="AB4">
        <v>12286</v>
      </c>
    </row>
    <row r="5" spans="1:40" x14ac:dyDescent="0.2">
      <c r="A5" s="3">
        <v>1</v>
      </c>
      <c r="B5" s="3">
        <v>1</v>
      </c>
      <c r="C5" s="3">
        <v>1</v>
      </c>
      <c r="D5" s="7">
        <v>24.1784762424288</v>
      </c>
      <c r="E5" s="7">
        <v>0</v>
      </c>
      <c r="F5" s="7">
        <v>4560.1400000000003</v>
      </c>
      <c r="G5" s="7">
        <v>0</v>
      </c>
      <c r="H5" s="7">
        <v>10096</v>
      </c>
      <c r="I5" s="7">
        <v>5535.86</v>
      </c>
      <c r="J5">
        <f t="shared" si="0"/>
        <v>0</v>
      </c>
      <c r="O5">
        <v>4</v>
      </c>
      <c r="P5">
        <v>213</v>
      </c>
      <c r="Q5">
        <v>0</v>
      </c>
      <c r="R5" s="1">
        <v>45681</v>
      </c>
      <c r="S5">
        <v>2272</v>
      </c>
      <c r="T5">
        <v>7868</v>
      </c>
      <c r="U5">
        <v>2355</v>
      </c>
      <c r="V5">
        <v>1439</v>
      </c>
      <c r="W5">
        <v>15436</v>
      </c>
      <c r="X5">
        <v>3007</v>
      </c>
      <c r="Y5">
        <v>4048</v>
      </c>
      <c r="Z5">
        <v>4180</v>
      </c>
      <c r="AA5">
        <v>3081</v>
      </c>
      <c r="AB5">
        <v>9034</v>
      </c>
      <c r="AL5" s="2" t="s">
        <v>25</v>
      </c>
      <c r="AM5" s="2" t="s">
        <v>35</v>
      </c>
      <c r="AN5" s="2" t="s">
        <v>36</v>
      </c>
    </row>
    <row r="6" spans="1:40" x14ac:dyDescent="0.2">
      <c r="A6" s="3">
        <v>1</v>
      </c>
      <c r="B6" s="3">
        <v>2</v>
      </c>
      <c r="C6" s="3">
        <v>0</v>
      </c>
      <c r="D6" s="7">
        <v>42.7466089776769</v>
      </c>
      <c r="E6" s="7">
        <v>0</v>
      </c>
      <c r="F6" s="7">
        <v>1825.64</v>
      </c>
      <c r="G6" s="7">
        <v>0</v>
      </c>
      <c r="H6" s="7">
        <v>5695</v>
      </c>
      <c r="I6" s="7">
        <v>3869.36</v>
      </c>
      <c r="J6">
        <f t="shared" si="0"/>
        <v>0</v>
      </c>
      <c r="O6">
        <v>1</v>
      </c>
      <c r="P6">
        <v>210</v>
      </c>
      <c r="Q6">
        <v>1</v>
      </c>
      <c r="R6" s="1">
        <v>45660</v>
      </c>
      <c r="S6">
        <v>2025</v>
      </c>
      <c r="T6">
        <v>6704</v>
      </c>
      <c r="U6">
        <v>3907</v>
      </c>
      <c r="V6">
        <v>826</v>
      </c>
      <c r="W6">
        <v>3784</v>
      </c>
      <c r="X6">
        <v>2285</v>
      </c>
      <c r="Y6">
        <v>3686</v>
      </c>
      <c r="Z6">
        <v>3446</v>
      </c>
      <c r="AA6">
        <v>1669</v>
      </c>
      <c r="AB6">
        <v>7388</v>
      </c>
      <c r="AL6" s="3">
        <v>0</v>
      </c>
      <c r="AM6" s="3">
        <v>28.792000000000002</v>
      </c>
      <c r="AN6" s="3">
        <v>530</v>
      </c>
    </row>
    <row r="7" spans="1:40" x14ac:dyDescent="0.2">
      <c r="A7" s="3">
        <v>1</v>
      </c>
      <c r="B7" s="3">
        <v>2</v>
      </c>
      <c r="C7" s="3">
        <v>1</v>
      </c>
      <c r="D7" s="7">
        <v>34.604610214851697</v>
      </c>
      <c r="E7" s="7">
        <v>0</v>
      </c>
      <c r="F7" s="7">
        <v>2017.32</v>
      </c>
      <c r="G7" s="7">
        <v>0</v>
      </c>
      <c r="H7" s="7">
        <v>5021</v>
      </c>
      <c r="I7" s="7">
        <v>3003.68</v>
      </c>
      <c r="J7">
        <f t="shared" si="0"/>
        <v>0</v>
      </c>
      <c r="O7">
        <v>2</v>
      </c>
      <c r="P7">
        <v>211</v>
      </c>
      <c r="Q7">
        <v>1</v>
      </c>
      <c r="R7" s="1">
        <v>45667</v>
      </c>
      <c r="S7">
        <v>2412</v>
      </c>
      <c r="T7">
        <v>3720</v>
      </c>
      <c r="U7">
        <v>2830</v>
      </c>
      <c r="V7">
        <v>668</v>
      </c>
      <c r="W7">
        <v>3804</v>
      </c>
      <c r="X7">
        <v>1399</v>
      </c>
      <c r="Y7">
        <v>4680</v>
      </c>
      <c r="Z7">
        <v>2974</v>
      </c>
      <c r="AA7">
        <v>1109</v>
      </c>
      <c r="AB7">
        <v>8360</v>
      </c>
      <c r="AL7" s="3">
        <v>1</v>
      </c>
      <c r="AM7" s="3">
        <v>20.792000000000002</v>
      </c>
      <c r="AN7" s="3">
        <v>530</v>
      </c>
    </row>
    <row r="8" spans="1:40" x14ac:dyDescent="0.2">
      <c r="A8" s="3">
        <v>1</v>
      </c>
      <c r="B8" s="3">
        <v>3</v>
      </c>
      <c r="C8" s="3">
        <v>0</v>
      </c>
      <c r="D8" s="7">
        <v>65.778847269937799</v>
      </c>
      <c r="E8" s="7">
        <v>0</v>
      </c>
      <c r="F8" s="7">
        <v>690.8</v>
      </c>
      <c r="G8" s="7">
        <v>0</v>
      </c>
      <c r="H8" s="7">
        <v>2235</v>
      </c>
      <c r="I8" s="7">
        <v>1544.2</v>
      </c>
      <c r="J8">
        <f t="shared" si="0"/>
        <v>0</v>
      </c>
      <c r="O8">
        <v>3</v>
      </c>
      <c r="P8">
        <v>212</v>
      </c>
      <c r="Q8">
        <v>1</v>
      </c>
      <c r="R8" s="1">
        <v>45674</v>
      </c>
      <c r="S8">
        <v>2410</v>
      </c>
      <c r="T8">
        <v>7342</v>
      </c>
      <c r="U8">
        <v>6045</v>
      </c>
      <c r="V8">
        <v>1625</v>
      </c>
      <c r="W8">
        <v>5537</v>
      </c>
      <c r="X8">
        <v>2183</v>
      </c>
      <c r="Y8">
        <v>5569</v>
      </c>
      <c r="Z8">
        <v>2682</v>
      </c>
      <c r="AA8">
        <v>4584</v>
      </c>
      <c r="AB8">
        <v>7336</v>
      </c>
      <c r="AL8" s="3">
        <v>2</v>
      </c>
      <c r="AM8" s="3">
        <v>31.992000000000004</v>
      </c>
      <c r="AN8" s="3">
        <v>530</v>
      </c>
    </row>
    <row r="9" spans="1:40" x14ac:dyDescent="0.2">
      <c r="A9" s="3">
        <v>1</v>
      </c>
      <c r="B9" s="3">
        <v>3</v>
      </c>
      <c r="C9" s="3">
        <v>1</v>
      </c>
      <c r="D9" s="7">
        <v>69.575054220152097</v>
      </c>
      <c r="E9" s="7">
        <v>0</v>
      </c>
      <c r="F9" s="7">
        <v>507.75</v>
      </c>
      <c r="G9" s="7">
        <v>0</v>
      </c>
      <c r="H9" s="7">
        <v>1721</v>
      </c>
      <c r="I9" s="7">
        <v>1213.25</v>
      </c>
      <c r="J9">
        <f t="shared" si="0"/>
        <v>0</v>
      </c>
      <c r="O9">
        <v>4</v>
      </c>
      <c r="P9">
        <v>213</v>
      </c>
      <c r="Q9">
        <v>1</v>
      </c>
      <c r="R9" s="1">
        <v>45681</v>
      </c>
      <c r="S9">
        <v>2490</v>
      </c>
      <c r="T9">
        <v>6453</v>
      </c>
      <c r="U9">
        <v>2870</v>
      </c>
      <c r="V9">
        <v>1180</v>
      </c>
      <c r="W9">
        <v>6780</v>
      </c>
      <c r="X9">
        <v>2681</v>
      </c>
      <c r="Y9">
        <v>5185</v>
      </c>
      <c r="Z9">
        <v>2993</v>
      </c>
      <c r="AA9">
        <v>3428</v>
      </c>
      <c r="AB9">
        <v>6690</v>
      </c>
      <c r="AL9" s="3">
        <v>3</v>
      </c>
      <c r="AM9" s="3">
        <v>52.792000000000002</v>
      </c>
      <c r="AN9" s="3">
        <v>320</v>
      </c>
    </row>
    <row r="10" spans="1:40" x14ac:dyDescent="0.2">
      <c r="A10" s="3">
        <v>1</v>
      </c>
      <c r="B10" s="3">
        <v>4</v>
      </c>
      <c r="C10" s="3">
        <v>0</v>
      </c>
      <c r="D10" s="7">
        <v>34.811062619971601</v>
      </c>
      <c r="E10" s="7">
        <v>0</v>
      </c>
      <c r="F10" s="7">
        <v>4346.54</v>
      </c>
      <c r="G10" s="7">
        <v>0</v>
      </c>
      <c r="H10" s="7">
        <v>12503</v>
      </c>
      <c r="I10" s="7">
        <v>8156.46</v>
      </c>
      <c r="J10">
        <f t="shared" si="0"/>
        <v>0</v>
      </c>
      <c r="AL10" s="3">
        <v>4</v>
      </c>
      <c r="AM10" s="3">
        <v>25.591999999999999</v>
      </c>
      <c r="AN10" s="3">
        <v>530</v>
      </c>
    </row>
    <row r="11" spans="1:40" x14ac:dyDescent="0.2">
      <c r="A11" s="3">
        <v>1</v>
      </c>
      <c r="B11" s="3">
        <v>4</v>
      </c>
      <c r="C11" s="3">
        <v>1</v>
      </c>
      <c r="D11" s="7">
        <v>31.942683142693699</v>
      </c>
      <c r="E11" s="7">
        <v>0</v>
      </c>
      <c r="F11" s="7">
        <v>4083.11</v>
      </c>
      <c r="G11" s="7">
        <v>0</v>
      </c>
      <c r="H11" s="7">
        <v>9719</v>
      </c>
      <c r="I11" s="7">
        <v>5635.89</v>
      </c>
      <c r="J11">
        <f t="shared" si="0"/>
        <v>0</v>
      </c>
      <c r="AL11" s="3">
        <v>5</v>
      </c>
      <c r="AM11" s="3">
        <v>44.800000000000004</v>
      </c>
      <c r="AN11" s="3">
        <v>530</v>
      </c>
    </row>
    <row r="12" spans="1:40" x14ac:dyDescent="0.2">
      <c r="A12" s="3">
        <v>1</v>
      </c>
      <c r="B12" s="3">
        <v>5</v>
      </c>
      <c r="C12" s="3">
        <v>0</v>
      </c>
      <c r="D12" s="7">
        <v>60.911191931503701</v>
      </c>
      <c r="E12" s="7">
        <v>0</v>
      </c>
      <c r="F12" s="7">
        <v>1055.76</v>
      </c>
      <c r="G12" s="7">
        <v>0</v>
      </c>
      <c r="H12" s="7">
        <v>3345</v>
      </c>
      <c r="I12" s="7">
        <v>2289.2399999999998</v>
      </c>
      <c r="J12">
        <f t="shared" si="0"/>
        <v>0</v>
      </c>
      <c r="AL12" s="3">
        <v>6</v>
      </c>
      <c r="AM12" s="3">
        <v>62.993000000000002</v>
      </c>
      <c r="AN12" s="3">
        <v>780</v>
      </c>
    </row>
    <row r="13" spans="1:40" x14ac:dyDescent="0.2">
      <c r="A13" s="3">
        <v>1</v>
      </c>
      <c r="B13" s="3">
        <v>5</v>
      </c>
      <c r="C13" s="3">
        <v>1</v>
      </c>
      <c r="D13" s="7">
        <v>62.129988738783403</v>
      </c>
      <c r="E13" s="7">
        <v>0</v>
      </c>
      <c r="F13" s="7">
        <v>979.18499999999995</v>
      </c>
      <c r="G13" s="7">
        <v>0</v>
      </c>
      <c r="H13" s="7">
        <v>3205</v>
      </c>
      <c r="I13" s="7">
        <v>2225.8150000000001</v>
      </c>
      <c r="J13">
        <f t="shared" si="0"/>
        <v>0</v>
      </c>
      <c r="O13" s="2" t="s">
        <v>24</v>
      </c>
      <c r="P13" s="2" t="s">
        <v>23</v>
      </c>
      <c r="Q13" s="2" t="s">
        <v>25</v>
      </c>
      <c r="R13" s="2" t="s">
        <v>27</v>
      </c>
      <c r="S13" s="2" t="s">
        <v>29</v>
      </c>
      <c r="T13" s="2" t="s">
        <v>26</v>
      </c>
      <c r="U13" s="2" t="s">
        <v>28</v>
      </c>
      <c r="V13" s="2" t="s">
        <v>30</v>
      </c>
      <c r="W13" s="2" t="s">
        <v>35</v>
      </c>
      <c r="X13" s="2" t="s">
        <v>36</v>
      </c>
      <c r="Y13" s="2" t="s">
        <v>38</v>
      </c>
      <c r="AD13" s="2" t="s">
        <v>34</v>
      </c>
      <c r="AE13" s="2" t="s">
        <v>31</v>
      </c>
      <c r="AF13" s="2" t="s">
        <v>37</v>
      </c>
      <c r="AG13" s="2" t="s">
        <v>39</v>
      </c>
      <c r="AH13" s="2" t="s">
        <v>41</v>
      </c>
      <c r="AL13" s="3">
        <v>7</v>
      </c>
      <c r="AM13" s="3">
        <v>46.4925</v>
      </c>
      <c r="AN13" s="3">
        <v>530</v>
      </c>
    </row>
    <row r="14" spans="1:40" x14ac:dyDescent="0.2">
      <c r="A14" s="3">
        <v>1</v>
      </c>
      <c r="B14" s="3">
        <v>6</v>
      </c>
      <c r="C14" s="3">
        <v>0</v>
      </c>
      <c r="D14" s="7">
        <v>83.785779046260899</v>
      </c>
      <c r="E14" s="7">
        <v>0</v>
      </c>
      <c r="F14" s="7">
        <v>1831.095</v>
      </c>
      <c r="G14" s="7">
        <v>0</v>
      </c>
      <c r="H14" s="7">
        <v>6582</v>
      </c>
      <c r="I14" s="7">
        <v>4750.9049999999997</v>
      </c>
      <c r="J14">
        <f t="shared" si="0"/>
        <v>0</v>
      </c>
      <c r="O14" s="3">
        <v>1</v>
      </c>
      <c r="P14" s="3">
        <v>0</v>
      </c>
      <c r="Q14" s="3">
        <v>0</v>
      </c>
      <c r="R14">
        <v>1689</v>
      </c>
      <c r="S14" cm="1">
        <f t="array" ref="S14">INDEX(($E$2:$E$81 + $H$2:$H$81), MATCH(1,($A$2:$A$81=O14)*($B$2:$B$81=Q14)*($C$2:$C$81=P14), 0))</f>
        <v>3404</v>
      </c>
      <c r="T14" cm="1">
        <f t="array" ref="T14">INDEX($D$2:$D$81, MATCH(1,($A$2:$A$81=O14)*($B$2:$B$81=Q14)*($C$2:$C$81=P14), 0))</f>
        <v>32.699090463764499</v>
      </c>
      <c r="U14" cm="1">
        <f t="array" ref="U14">INDEX(($E$2:$E$81)*($J$2:$J$81), MATCH(1,($A$2:$A$81=O14)*($B$2:$B$81=Q14)*($C$2:$C$81=P14), 0))</f>
        <v>0</v>
      </c>
      <c r="V14">
        <f>IF(S14-R14&gt;0, 0, R14-S14)</f>
        <v>0</v>
      </c>
      <c r="W14">
        <v>28.792000000000002</v>
      </c>
      <c r="X14" s="3">
        <v>530</v>
      </c>
      <c r="Y14" cm="1">
        <f t="array" ref="Y14">INDEX($J$2:$J$81, MATCH(1,($A$2:$A$81=O14)*($B$2:$B$81=Q14)*($C$2:$C$81=P14), 0))</f>
        <v>0</v>
      </c>
      <c r="AD14">
        <f t="shared" ref="AD14:AD45" si="1">R14*T14</f>
        <v>55228.76379329824</v>
      </c>
      <c r="AE14">
        <f t="shared" ref="AE14:AE45" si="2">W14*U14</f>
        <v>0</v>
      </c>
      <c r="AF14">
        <f>Y14*X14</f>
        <v>0</v>
      </c>
      <c r="AG14">
        <f>V14*T14*0.1</f>
        <v>0</v>
      </c>
      <c r="AH14">
        <f>W14*0.1*(IF(S14-R14&gt;0, S14-R14, 0))</f>
        <v>4937.8280000000004</v>
      </c>
      <c r="AL14" s="3">
        <v>8</v>
      </c>
      <c r="AM14" s="3">
        <v>32.391900000000007</v>
      </c>
      <c r="AN14" s="3">
        <v>530</v>
      </c>
    </row>
    <row r="15" spans="1:40" x14ac:dyDescent="0.2">
      <c r="A15" s="3">
        <v>1</v>
      </c>
      <c r="B15" s="3">
        <v>6</v>
      </c>
      <c r="C15" s="3">
        <v>1</v>
      </c>
      <c r="D15" s="7">
        <v>92.622278035099995</v>
      </c>
      <c r="E15" s="7">
        <v>0</v>
      </c>
      <c r="F15" s="7">
        <v>1630.66</v>
      </c>
      <c r="G15" s="7">
        <v>0</v>
      </c>
      <c r="H15" s="7">
        <v>7579</v>
      </c>
      <c r="I15" s="7">
        <v>5948.34</v>
      </c>
      <c r="J15">
        <f t="shared" si="0"/>
        <v>0</v>
      </c>
      <c r="O15" s="3">
        <v>2</v>
      </c>
      <c r="P15" s="3">
        <v>0</v>
      </c>
      <c r="Q15" s="3">
        <v>0</v>
      </c>
      <c r="R15">
        <v>1206</v>
      </c>
      <c r="S15" cm="1">
        <f t="array" ref="S15">INDEX(($E$2:$E$81 + $H$2:$H$81), MATCH(1,($A$2:$A$81=O15)*($B$2:$B$81=Q15)*($C$2:$C$81=P15), 0))</f>
        <v>6836.0450000000001</v>
      </c>
      <c r="T15" cm="1">
        <f t="array" ref="T15">INDEX($D$2:$D$81, MATCH(1,($A$2:$A$81=O15)*($B$2:$B$81=Q15)*($C$2:$C$81=P15), 0))</f>
        <v>37.318589578141697</v>
      </c>
      <c r="U15" cm="1">
        <f t="array" ref="U15">INDEX(($E$2:$E$81)*($J$2:$J$81), MATCH(1,($A$2:$A$81=O15)*($B$2:$B$81=Q15)*($C$2:$C$81=P15), 0))</f>
        <v>4842.2250000001104</v>
      </c>
      <c r="V15">
        <f t="shared" ref="V15:V78" si="3">IF(S15-R15&gt;0, 0, R15-S15)</f>
        <v>0</v>
      </c>
      <c r="W15">
        <v>28.792000000000002</v>
      </c>
      <c r="X15" s="3">
        <v>530</v>
      </c>
      <c r="Y15" cm="1">
        <f t="array" ref="Y15">INDEX($J$2:$J$81, MATCH(1,($A$2:$A$81=O15)*($B$2:$B$81=Q15)*($C$2:$C$81=P15), 0))</f>
        <v>1</v>
      </c>
      <c r="AD15">
        <f t="shared" si="1"/>
        <v>45006.219031238885</v>
      </c>
      <c r="AE15">
        <f t="shared" si="2"/>
        <v>139417.34220000319</v>
      </c>
      <c r="AF15">
        <f t="shared" ref="AF15:AF78" si="4">Y15*X15</f>
        <v>530</v>
      </c>
      <c r="AG15">
        <f t="shared" ref="AG15:AG78" si="5">V15*T15*0.1</f>
        <v>0</v>
      </c>
      <c r="AH15">
        <f t="shared" ref="AH15:AH78" si="6">W15*0.1*(IF(S15-R15&gt;0, S15-R15, 0))</f>
        <v>16210.025564000003</v>
      </c>
      <c r="AL15" s="3">
        <v>9</v>
      </c>
      <c r="AM15" s="3">
        <v>17.591999999999999</v>
      </c>
      <c r="AN15" s="3">
        <v>530</v>
      </c>
    </row>
    <row r="16" spans="1:40" x14ac:dyDescent="0.2">
      <c r="A16" s="3">
        <v>1</v>
      </c>
      <c r="B16" s="3">
        <v>7</v>
      </c>
      <c r="C16" s="3">
        <v>0</v>
      </c>
      <c r="D16" s="7">
        <v>59.352904267671903</v>
      </c>
      <c r="E16" s="7">
        <v>0</v>
      </c>
      <c r="F16" s="7">
        <v>1527.93</v>
      </c>
      <c r="G16" s="7">
        <v>0</v>
      </c>
      <c r="H16" s="7">
        <v>5240</v>
      </c>
      <c r="I16" s="7">
        <v>3712.07</v>
      </c>
      <c r="J16">
        <f t="shared" si="0"/>
        <v>0</v>
      </c>
      <c r="O16" s="3">
        <v>3</v>
      </c>
      <c r="P16" s="3">
        <v>0</v>
      </c>
      <c r="Q16" s="3">
        <v>0</v>
      </c>
      <c r="R16">
        <v>3263</v>
      </c>
      <c r="S16" cm="1">
        <f t="array" ref="S16">INDEX(($E$2:$E$81 + $H$2:$H$81), MATCH(1,($A$2:$A$81=O16)*($B$2:$B$81=Q16)*($C$2:$C$81=P16), 0))</f>
        <v>6509.55</v>
      </c>
      <c r="T16" cm="1">
        <f t="array" ref="T16">INDEX($D$2:$D$81, MATCH(1,($A$2:$A$81=O16)*($B$2:$B$81=Q16)*($C$2:$C$81=P16), 0))</f>
        <v>36.7971003257733</v>
      </c>
      <c r="U16" cm="1">
        <f t="array" ref="U16">INDEX(($E$2:$E$81)*($J$2:$J$81), MATCH(1,($A$2:$A$81=O16)*($B$2:$B$81=Q16)*($C$2:$C$81=P16), 0))</f>
        <v>1270.54</v>
      </c>
      <c r="V16">
        <f t="shared" si="3"/>
        <v>0</v>
      </c>
      <c r="W16">
        <v>28.792000000000002</v>
      </c>
      <c r="X16" s="3">
        <v>530</v>
      </c>
      <c r="Y16" cm="1">
        <f t="array" ref="Y16">INDEX($J$2:$J$81, MATCH(1,($A$2:$A$81=O16)*($B$2:$B$81=Q16)*($C$2:$C$81=P16), 0))</f>
        <v>1</v>
      </c>
      <c r="AD16">
        <f t="shared" si="1"/>
        <v>120068.93836299828</v>
      </c>
      <c r="AE16">
        <f t="shared" si="2"/>
        <v>36581.38768</v>
      </c>
      <c r="AF16">
        <f t="shared" si="4"/>
        <v>530</v>
      </c>
      <c r="AG16">
        <f t="shared" si="5"/>
        <v>0</v>
      </c>
      <c r="AH16">
        <f t="shared" si="6"/>
        <v>9347.4667600000012</v>
      </c>
    </row>
    <row r="17" spans="1:34" x14ac:dyDescent="0.2">
      <c r="A17" s="3">
        <v>1</v>
      </c>
      <c r="B17" s="3">
        <v>7</v>
      </c>
      <c r="C17" s="3">
        <v>1</v>
      </c>
      <c r="D17" s="7">
        <v>64.6266682541563</v>
      </c>
      <c r="E17" s="7">
        <v>0</v>
      </c>
      <c r="F17" s="7">
        <v>1652.96</v>
      </c>
      <c r="G17" s="7">
        <v>0</v>
      </c>
      <c r="H17" s="7">
        <v>5087</v>
      </c>
      <c r="I17" s="7">
        <v>3434.04</v>
      </c>
      <c r="J17">
        <f t="shared" si="0"/>
        <v>0</v>
      </c>
      <c r="O17" s="3">
        <v>4</v>
      </c>
      <c r="P17" s="3">
        <v>0</v>
      </c>
      <c r="Q17" s="3">
        <v>0</v>
      </c>
      <c r="R17">
        <v>2272</v>
      </c>
      <c r="S17" cm="1">
        <f t="array" ref="S17">INDEX(($E$2:$E$81 + $H$2:$H$81), MATCH(1,($A$2:$A$81=O17)*($B$2:$B$81=Q17)*($C$2:$C$81=P17), 0))</f>
        <v>4525.21</v>
      </c>
      <c r="T17" cm="1">
        <f t="array" ref="T17">INDEX($D$2:$D$81, MATCH(1,($A$2:$A$81=O17)*($B$2:$B$81=Q17)*($C$2:$C$81=P17), 0))</f>
        <v>37.6380117349796</v>
      </c>
      <c r="U17" cm="1">
        <f t="array" ref="U17">INDEX(($E$2:$E$81)*($J$2:$J$81), MATCH(1,($A$2:$A$81=O17)*($B$2:$B$81=Q17)*($C$2:$C$81=P17), 0))</f>
        <v>0</v>
      </c>
      <c r="V17">
        <f t="shared" si="3"/>
        <v>0</v>
      </c>
      <c r="W17">
        <v>28.792000000000002</v>
      </c>
      <c r="X17" s="3">
        <v>530</v>
      </c>
      <c r="Y17" cm="1">
        <f t="array" ref="Y17">INDEX($J$2:$J$81, MATCH(1,($A$2:$A$81=O17)*($B$2:$B$81=Q17)*($C$2:$C$81=P17), 0))</f>
        <v>0</v>
      </c>
      <c r="AD17">
        <f t="shared" si="1"/>
        <v>85513.562661873657</v>
      </c>
      <c r="AE17">
        <f t="shared" si="2"/>
        <v>0</v>
      </c>
      <c r="AF17">
        <f t="shared" si="4"/>
        <v>0</v>
      </c>
      <c r="AG17">
        <f t="shared" si="5"/>
        <v>0</v>
      </c>
      <c r="AH17">
        <f t="shared" si="6"/>
        <v>6487.4422320000012</v>
      </c>
    </row>
    <row r="18" spans="1:34" x14ac:dyDescent="0.2">
      <c r="A18" s="3">
        <v>1</v>
      </c>
      <c r="B18" s="3">
        <v>8</v>
      </c>
      <c r="C18" s="3">
        <v>0</v>
      </c>
      <c r="D18" s="7">
        <v>41.045529715543303</v>
      </c>
      <c r="E18" s="7">
        <v>0</v>
      </c>
      <c r="F18" s="7">
        <v>2258.0949999999998</v>
      </c>
      <c r="G18" s="7">
        <v>0</v>
      </c>
      <c r="H18" s="7">
        <v>6206</v>
      </c>
      <c r="I18" s="7">
        <v>3947.9050000000002</v>
      </c>
      <c r="J18">
        <f t="shared" si="0"/>
        <v>0</v>
      </c>
      <c r="O18" s="3">
        <v>1</v>
      </c>
      <c r="P18" s="3">
        <v>1</v>
      </c>
      <c r="Q18" s="3">
        <v>0</v>
      </c>
      <c r="R18">
        <v>2025</v>
      </c>
      <c r="S18" cm="1">
        <f t="array" ref="S18">INDEX(($E$2:$E$81 + $H$2:$H$81), MATCH(1,($A$2:$A$81=O18)*($B$2:$B$81=Q18)*($C$2:$C$81=P18), 0))</f>
        <v>4121</v>
      </c>
      <c r="T18" cm="1">
        <f t="array" ref="T18">INDEX($D$2:$D$81, MATCH(1,($A$2:$A$81=O18)*($B$2:$B$81=Q18)*($C$2:$C$81=P18), 0))</f>
        <v>38.656140927389899</v>
      </c>
      <c r="U18" cm="1">
        <f t="array" ref="U18">INDEX(($E$2:$E$81)*($J$2:$J$81), MATCH(1,($A$2:$A$81=O18)*($B$2:$B$81=Q18)*($C$2:$C$81=P18), 0))</f>
        <v>0</v>
      </c>
      <c r="V18">
        <f t="shared" si="3"/>
        <v>0</v>
      </c>
      <c r="W18">
        <v>28.792000000000002</v>
      </c>
      <c r="X18" s="3">
        <v>530</v>
      </c>
      <c r="Y18" cm="1">
        <f t="array" ref="Y18">INDEX($J$2:$J$81, MATCH(1,($A$2:$A$81=O18)*($B$2:$B$81=Q18)*($C$2:$C$81=P18), 0))</f>
        <v>0</v>
      </c>
      <c r="AD18">
        <f t="shared" si="1"/>
        <v>78278.685377964546</v>
      </c>
      <c r="AE18">
        <f t="shared" si="2"/>
        <v>0</v>
      </c>
      <c r="AF18">
        <f t="shared" si="4"/>
        <v>0</v>
      </c>
      <c r="AG18">
        <f t="shared" si="5"/>
        <v>0</v>
      </c>
      <c r="AH18">
        <f t="shared" si="6"/>
        <v>6034.8032000000012</v>
      </c>
    </row>
    <row r="19" spans="1:34" x14ac:dyDescent="0.2">
      <c r="A19" s="3">
        <v>1</v>
      </c>
      <c r="B19" s="3">
        <v>8</v>
      </c>
      <c r="C19" s="3">
        <v>1</v>
      </c>
      <c r="D19" s="7">
        <v>43.224169059347901</v>
      </c>
      <c r="E19" s="7">
        <v>0</v>
      </c>
      <c r="F19" s="7">
        <v>2063.165</v>
      </c>
      <c r="G19" s="7">
        <v>0</v>
      </c>
      <c r="H19" s="7">
        <v>5817</v>
      </c>
      <c r="I19" s="7">
        <v>3753.835</v>
      </c>
      <c r="J19">
        <f t="shared" si="0"/>
        <v>0</v>
      </c>
      <c r="O19" s="3">
        <v>2</v>
      </c>
      <c r="P19" s="3">
        <v>1</v>
      </c>
      <c r="Q19" s="3">
        <v>0</v>
      </c>
      <c r="R19">
        <v>2412</v>
      </c>
      <c r="S19" cm="1">
        <f t="array" ref="S19">INDEX(($E$2:$E$81 + $H$2:$H$81), MATCH(1,($A$2:$A$81=O19)*($B$2:$B$81=Q19)*($C$2:$C$81=P19), 0))</f>
        <v>2579.165</v>
      </c>
      <c r="T19" cm="1">
        <f t="array" ref="T19">INDEX($D$2:$D$81, MATCH(1,($A$2:$A$81=O19)*($B$2:$B$81=Q19)*($C$2:$C$81=P19), 0))</f>
        <v>37.782468500632802</v>
      </c>
      <c r="U19" cm="1">
        <f t="array" ref="U19">INDEX(($E$2:$E$81)*($J$2:$J$81), MATCH(1,($A$2:$A$81=O19)*($B$2:$B$81=Q19)*($C$2:$C$81=P19), 0))</f>
        <v>0</v>
      </c>
      <c r="V19">
        <f t="shared" si="3"/>
        <v>0</v>
      </c>
      <c r="W19">
        <v>28.792000000000002</v>
      </c>
      <c r="X19" s="3">
        <v>530</v>
      </c>
      <c r="Y19" cm="1">
        <f t="array" ref="Y19">INDEX($J$2:$J$81, MATCH(1,($A$2:$A$81=O19)*($B$2:$B$81=Q19)*($C$2:$C$81=P19), 0))</f>
        <v>0</v>
      </c>
      <c r="AD19">
        <f t="shared" si="1"/>
        <v>91131.314023526313</v>
      </c>
      <c r="AE19">
        <f t="shared" si="2"/>
        <v>0</v>
      </c>
      <c r="AF19">
        <f t="shared" si="4"/>
        <v>0</v>
      </c>
      <c r="AG19">
        <f t="shared" si="5"/>
        <v>0</v>
      </c>
      <c r="AH19">
        <f t="shared" si="6"/>
        <v>481.30146799999994</v>
      </c>
    </row>
    <row r="20" spans="1:34" x14ac:dyDescent="0.2">
      <c r="A20" s="3">
        <v>1</v>
      </c>
      <c r="B20" s="3">
        <v>9</v>
      </c>
      <c r="C20" s="3">
        <v>0</v>
      </c>
      <c r="D20" s="7">
        <v>23.28559166666</v>
      </c>
      <c r="E20" s="7">
        <v>0</v>
      </c>
      <c r="F20" s="7">
        <v>4369.28</v>
      </c>
      <c r="G20" s="7">
        <v>0</v>
      </c>
      <c r="H20" s="7">
        <v>10813</v>
      </c>
      <c r="I20" s="7">
        <v>6443.72</v>
      </c>
      <c r="J20">
        <f t="shared" si="0"/>
        <v>0</v>
      </c>
      <c r="O20" s="3">
        <v>3</v>
      </c>
      <c r="P20" s="3">
        <v>1</v>
      </c>
      <c r="Q20" s="3">
        <v>0</v>
      </c>
      <c r="R20">
        <v>2410</v>
      </c>
      <c r="S20" cm="1">
        <f t="array" ref="S20">INDEX(($E$2:$E$81 + $H$2:$H$81), MATCH(1,($A$2:$A$81=O20)*($B$2:$B$81=Q20)*($C$2:$C$81=P20), 0))</f>
        <v>6681.66</v>
      </c>
      <c r="T20" cm="1">
        <f t="array" ref="T20">INDEX($D$2:$D$81, MATCH(1,($A$2:$A$81=O20)*($B$2:$B$81=Q20)*($C$2:$C$81=P20), 0))</f>
        <v>38.449855894029803</v>
      </c>
      <c r="U20" cm="1">
        <f t="array" ref="U20">INDEX(($E$2:$E$81)*($J$2:$J$81), MATCH(1,($A$2:$A$81=O20)*($B$2:$B$81=Q20)*($C$2:$C$81=P20), 0))</f>
        <v>6028.3549999999996</v>
      </c>
      <c r="V20">
        <f t="shared" si="3"/>
        <v>0</v>
      </c>
      <c r="W20">
        <v>28.792000000000002</v>
      </c>
      <c r="X20" s="3">
        <v>530</v>
      </c>
      <c r="Y20" cm="1">
        <f t="array" ref="Y20">INDEX($J$2:$J$81, MATCH(1,($A$2:$A$81=O20)*($B$2:$B$81=Q20)*($C$2:$C$81=P20), 0))</f>
        <v>1</v>
      </c>
      <c r="AD20">
        <f t="shared" si="1"/>
        <v>92664.152704611828</v>
      </c>
      <c r="AE20">
        <f t="shared" si="2"/>
        <v>173568.39715999999</v>
      </c>
      <c r="AF20">
        <f t="shared" si="4"/>
        <v>530</v>
      </c>
      <c r="AG20">
        <f t="shared" si="5"/>
        <v>0</v>
      </c>
      <c r="AH20">
        <f t="shared" si="6"/>
        <v>12298.963472000001</v>
      </c>
    </row>
    <row r="21" spans="1:34" x14ac:dyDescent="0.2">
      <c r="A21" s="3">
        <v>1</v>
      </c>
      <c r="B21" s="3">
        <v>9</v>
      </c>
      <c r="C21" s="3">
        <v>1</v>
      </c>
      <c r="D21" s="7">
        <v>20.039076712880199</v>
      </c>
      <c r="E21" s="7">
        <v>0</v>
      </c>
      <c r="F21" s="7">
        <v>5976.13</v>
      </c>
      <c r="G21" s="7">
        <v>0</v>
      </c>
      <c r="H21" s="7">
        <v>13811</v>
      </c>
      <c r="I21" s="7">
        <v>7834.87</v>
      </c>
      <c r="J21">
        <f t="shared" si="0"/>
        <v>0</v>
      </c>
      <c r="O21" s="3">
        <v>4</v>
      </c>
      <c r="P21" s="3">
        <v>1</v>
      </c>
      <c r="Q21" s="3">
        <v>0</v>
      </c>
      <c r="R21">
        <v>2490</v>
      </c>
      <c r="S21" cm="1">
        <f t="array" ref="S21">INDEX(($E$2:$E$81 + $H$2:$H$81), MATCH(1,($A$2:$A$81=O21)*($B$2:$B$81=Q21)*($C$2:$C$81=P21), 0))</f>
        <v>6784.2449999999899</v>
      </c>
      <c r="T21" cm="1">
        <f t="array" ref="T21">INDEX($D$2:$D$81, MATCH(1,($A$2:$A$81=O21)*($B$2:$B$81=Q21)*($C$2:$C$81=P21), 0))</f>
        <v>35.606532481214401</v>
      </c>
      <c r="U21" cm="1">
        <f t="array" ref="U21">INDEX(($E$2:$E$81)*($J$2:$J$81), MATCH(1,($A$2:$A$81=O21)*($B$2:$B$81=Q21)*($C$2:$C$81=P21), 0))</f>
        <v>1645.79999999999</v>
      </c>
      <c r="V21">
        <f t="shared" si="3"/>
        <v>0</v>
      </c>
      <c r="W21">
        <v>28.792000000000002</v>
      </c>
      <c r="X21" s="3">
        <v>530</v>
      </c>
      <c r="Y21" cm="1">
        <f t="array" ref="Y21">INDEX($J$2:$J$81, MATCH(1,($A$2:$A$81=O21)*($B$2:$B$81=Q21)*($C$2:$C$81=P21), 0))</f>
        <v>1</v>
      </c>
      <c r="AD21">
        <f t="shared" si="1"/>
        <v>88660.265878223858</v>
      </c>
      <c r="AE21">
        <f t="shared" si="2"/>
        <v>47385.873599999715</v>
      </c>
      <c r="AF21">
        <f t="shared" si="4"/>
        <v>530</v>
      </c>
      <c r="AG21">
        <f t="shared" si="5"/>
        <v>0</v>
      </c>
      <c r="AH21">
        <f t="shared" si="6"/>
        <v>12363.990203999972</v>
      </c>
    </row>
    <row r="22" spans="1:34" x14ac:dyDescent="0.2">
      <c r="A22" s="3">
        <v>2</v>
      </c>
      <c r="B22" s="3">
        <v>0</v>
      </c>
      <c r="C22" s="3">
        <v>0</v>
      </c>
      <c r="D22" s="7">
        <v>37.318589578141697</v>
      </c>
      <c r="E22" s="7">
        <v>4842.2250000001104</v>
      </c>
      <c r="F22" s="7">
        <v>1597.0350000000001</v>
      </c>
      <c r="G22" s="7">
        <v>0</v>
      </c>
      <c r="H22" s="7">
        <v>1993.8199999998899</v>
      </c>
      <c r="I22" s="7">
        <v>5239.01</v>
      </c>
      <c r="J22">
        <f t="shared" si="0"/>
        <v>1</v>
      </c>
      <c r="O22" s="3">
        <v>1</v>
      </c>
      <c r="P22" s="3">
        <v>0</v>
      </c>
      <c r="Q22" s="3">
        <v>1</v>
      </c>
      <c r="R22">
        <v>5826</v>
      </c>
      <c r="S22" cm="1">
        <f t="array" ref="S22">INDEX(($E$2:$E$81 + $H$2:$H$81), MATCH(1,($A$2:$A$81=O22)*($B$2:$B$81=Q22)*($C$2:$C$81=P22), 0))</f>
        <v>8666</v>
      </c>
      <c r="T22" cm="1">
        <f t="array" ref="T22">INDEX($D$2:$D$81, MATCH(1,($A$2:$A$81=O22)*($B$2:$B$81=Q22)*($C$2:$C$81=P22), 0))</f>
        <v>26.632733531396699</v>
      </c>
      <c r="U22" cm="1">
        <f t="array" ref="U22">INDEX(($E$2:$E$81)*($J$2:$J$81), MATCH(1,($A$2:$A$81=O22)*($B$2:$B$81=Q22)*($C$2:$C$81=P22), 0))</f>
        <v>0</v>
      </c>
      <c r="V22">
        <f t="shared" si="3"/>
        <v>0</v>
      </c>
      <c r="W22">
        <v>20.792000000000002</v>
      </c>
      <c r="X22" s="3">
        <v>530</v>
      </c>
      <c r="Y22" cm="1">
        <f t="array" ref="Y22">INDEX($J$2:$J$81, MATCH(1,($A$2:$A$81=O22)*($B$2:$B$81=Q22)*($C$2:$C$81=P22), 0))</f>
        <v>0</v>
      </c>
      <c r="AD22">
        <f t="shared" si="1"/>
        <v>155162.30555391716</v>
      </c>
      <c r="AE22">
        <f t="shared" si="2"/>
        <v>0</v>
      </c>
      <c r="AF22">
        <f t="shared" si="4"/>
        <v>0</v>
      </c>
      <c r="AG22">
        <f t="shared" si="5"/>
        <v>0</v>
      </c>
      <c r="AH22">
        <f t="shared" si="6"/>
        <v>5904.9280000000008</v>
      </c>
    </row>
    <row r="23" spans="1:34" x14ac:dyDescent="0.2">
      <c r="A23" s="3">
        <v>2</v>
      </c>
      <c r="B23" s="3">
        <v>0</v>
      </c>
      <c r="C23" s="3">
        <v>1</v>
      </c>
      <c r="D23" s="7">
        <v>37.782468500632802</v>
      </c>
      <c r="E23" s="7">
        <v>0</v>
      </c>
      <c r="F23" s="7">
        <v>1925.86</v>
      </c>
      <c r="G23" s="7">
        <v>0</v>
      </c>
      <c r="H23" s="7">
        <v>2579.165</v>
      </c>
      <c r="I23" s="7">
        <v>653.30499999999995</v>
      </c>
      <c r="J23">
        <f t="shared" si="0"/>
        <v>0</v>
      </c>
      <c r="O23" s="3">
        <v>2</v>
      </c>
      <c r="P23" s="3">
        <v>0</v>
      </c>
      <c r="Q23" s="3">
        <v>1</v>
      </c>
      <c r="R23">
        <v>4295</v>
      </c>
      <c r="S23" cm="1">
        <f t="array" ref="S23">INDEX(($E$2:$E$81 + $H$2:$H$81), MATCH(1,($A$2:$A$81=O23)*($B$2:$B$81=Q23)*($C$2:$C$81=P23), 0))</f>
        <v>14577.554999999829</v>
      </c>
      <c r="T23" cm="1">
        <f t="array" ref="T23">INDEX($D$2:$D$81, MATCH(1,($A$2:$A$81=O23)*($B$2:$B$81=Q23)*($C$2:$C$81=P23), 0))</f>
        <v>26.605388349755</v>
      </c>
      <c r="U23" cm="1">
        <f t="array" ref="U23">INDEX(($E$2:$E$81)*($J$2:$J$81), MATCH(1,($A$2:$A$81=O23)*($B$2:$B$81=Q23)*($C$2:$C$81=P23), 0))</f>
        <v>9617.8049999998293</v>
      </c>
      <c r="V23">
        <f t="shared" si="3"/>
        <v>0</v>
      </c>
      <c r="W23">
        <v>20.792000000000002</v>
      </c>
      <c r="X23" s="3">
        <v>530</v>
      </c>
      <c r="Y23" cm="1">
        <f t="array" ref="Y23">INDEX($J$2:$J$81, MATCH(1,($A$2:$A$81=O23)*($B$2:$B$81=Q23)*($C$2:$C$81=P23), 0))</f>
        <v>1</v>
      </c>
      <c r="AD23">
        <f t="shared" si="1"/>
        <v>114270.14296219773</v>
      </c>
      <c r="AE23">
        <f t="shared" si="2"/>
        <v>199973.40155999648</v>
      </c>
      <c r="AF23">
        <f t="shared" si="4"/>
        <v>530</v>
      </c>
      <c r="AG23">
        <f t="shared" si="5"/>
        <v>0</v>
      </c>
      <c r="AH23">
        <f t="shared" si="6"/>
        <v>21379.488355999645</v>
      </c>
    </row>
    <row r="24" spans="1:34" x14ac:dyDescent="0.2">
      <c r="A24" s="3">
        <v>2</v>
      </c>
      <c r="B24" s="3">
        <v>1</v>
      </c>
      <c r="C24" s="3">
        <v>0</v>
      </c>
      <c r="D24" s="7">
        <v>26.605388349755</v>
      </c>
      <c r="E24" s="7">
        <v>9617.8049999998293</v>
      </c>
      <c r="F24" s="7">
        <v>3722.48</v>
      </c>
      <c r="G24" s="7">
        <v>0</v>
      </c>
      <c r="H24" s="7">
        <v>4959.75</v>
      </c>
      <c r="I24" s="7">
        <v>10855.074999999801</v>
      </c>
      <c r="J24">
        <f t="shared" si="0"/>
        <v>1</v>
      </c>
      <c r="O24" s="3">
        <v>3</v>
      </c>
      <c r="P24" s="3">
        <v>0</v>
      </c>
      <c r="Q24" s="3">
        <v>1</v>
      </c>
      <c r="R24">
        <v>6129</v>
      </c>
      <c r="S24" cm="1">
        <f t="array" ref="S24">INDEX(($E$2:$E$81 + $H$2:$H$81), MATCH(1,($A$2:$A$81=O24)*($B$2:$B$81=Q24)*($C$2:$C$81=P24), 0))</f>
        <v>10855.074999999801</v>
      </c>
      <c r="T24" cm="1">
        <f t="array" ref="T24">INDEX($D$2:$D$81, MATCH(1,($A$2:$A$81=O24)*($B$2:$B$81=Q24)*($C$2:$C$81=P24), 0))</f>
        <v>25.5354781779014</v>
      </c>
      <c r="U24" cm="1">
        <f t="array" ref="U24">INDEX(($E$2:$E$81)*($J$2:$J$81), MATCH(1,($A$2:$A$81=O24)*($B$2:$B$81=Q24)*($C$2:$C$81=P24), 0))</f>
        <v>0</v>
      </c>
      <c r="V24">
        <f t="shared" si="3"/>
        <v>0</v>
      </c>
      <c r="W24">
        <v>20.792000000000002</v>
      </c>
      <c r="X24" s="3">
        <v>530</v>
      </c>
      <c r="Y24" cm="1">
        <f t="array" ref="Y24">INDEX($J$2:$J$81, MATCH(1,($A$2:$A$81=O24)*($B$2:$B$81=Q24)*($C$2:$C$81=P24), 0))</f>
        <v>0</v>
      </c>
      <c r="AD24">
        <f t="shared" si="1"/>
        <v>156506.94575235769</v>
      </c>
      <c r="AE24">
        <f t="shared" si="2"/>
        <v>0</v>
      </c>
      <c r="AF24">
        <f t="shared" si="4"/>
        <v>0</v>
      </c>
      <c r="AG24">
        <f t="shared" si="5"/>
        <v>0</v>
      </c>
      <c r="AH24">
        <f t="shared" si="6"/>
        <v>9826.4551399995871</v>
      </c>
    </row>
    <row r="25" spans="1:34" x14ac:dyDescent="0.2">
      <c r="A25" s="3">
        <v>2</v>
      </c>
      <c r="B25" s="3">
        <v>1</v>
      </c>
      <c r="C25" s="3">
        <v>1</v>
      </c>
      <c r="D25" s="7">
        <v>24.946972954805499</v>
      </c>
      <c r="E25" s="7">
        <v>14734.475</v>
      </c>
      <c r="F25" s="7">
        <v>5676.82</v>
      </c>
      <c r="G25" s="7">
        <v>0</v>
      </c>
      <c r="H25" s="7">
        <v>5535.86</v>
      </c>
      <c r="I25" s="7">
        <v>14593.514999999999</v>
      </c>
      <c r="J25">
        <f t="shared" si="0"/>
        <v>1</v>
      </c>
      <c r="O25" s="3">
        <v>4</v>
      </c>
      <c r="P25" s="3">
        <v>0</v>
      </c>
      <c r="Q25" s="3">
        <v>1</v>
      </c>
      <c r="R25">
        <v>7868</v>
      </c>
      <c r="S25" cm="1">
        <f t="array" ref="S25">INDEX(($E$2:$E$81 + $H$2:$H$81), MATCH(1,($A$2:$A$81=O25)*($B$2:$B$81=Q25)*($C$2:$C$81=P25), 0))</f>
        <v>7063.8399999998401</v>
      </c>
      <c r="T25" cm="1">
        <f t="array" ref="T25">INDEX($D$2:$D$81, MATCH(1,($A$2:$A$81=O25)*($B$2:$B$81=Q25)*($C$2:$C$81=P25), 0))</f>
        <v>28.2613461949732</v>
      </c>
      <c r="U25" cm="1">
        <f t="array" ref="U25">INDEX(($E$2:$E$81)*($J$2:$J$81), MATCH(1,($A$2:$A$81=O25)*($B$2:$B$81=Q25)*($C$2:$C$81=P25), 0))</f>
        <v>0</v>
      </c>
      <c r="V25">
        <f t="shared" si="3"/>
        <v>804.16000000015993</v>
      </c>
      <c r="W25">
        <v>20.792000000000002</v>
      </c>
      <c r="X25" s="3">
        <v>530</v>
      </c>
      <c r="Y25" cm="1">
        <f t="array" ref="Y25">INDEX($J$2:$J$81, MATCH(1,($A$2:$A$81=O25)*($B$2:$B$81=Q25)*($C$2:$C$81=P25), 0))</f>
        <v>0</v>
      </c>
      <c r="AD25">
        <f t="shared" si="1"/>
        <v>222360.27186204915</v>
      </c>
      <c r="AE25">
        <f t="shared" si="2"/>
        <v>0</v>
      </c>
      <c r="AF25">
        <f t="shared" si="4"/>
        <v>0</v>
      </c>
      <c r="AG25">
        <f t="shared" si="5"/>
        <v>2272.6644156154171</v>
      </c>
      <c r="AH25">
        <f t="shared" si="6"/>
        <v>0</v>
      </c>
    </row>
    <row r="26" spans="1:34" x14ac:dyDescent="0.2">
      <c r="A26" s="3">
        <v>2</v>
      </c>
      <c r="B26" s="3">
        <v>2</v>
      </c>
      <c r="C26" s="3">
        <v>0</v>
      </c>
      <c r="D26" s="7">
        <v>43.915172937049697</v>
      </c>
      <c r="E26" s="7">
        <v>0</v>
      </c>
      <c r="F26" s="7">
        <v>3026.66</v>
      </c>
      <c r="G26" s="7">
        <v>0</v>
      </c>
      <c r="H26" s="7">
        <v>3869.36</v>
      </c>
      <c r="I26" s="7">
        <v>842.7</v>
      </c>
      <c r="J26">
        <f t="shared" si="0"/>
        <v>0</v>
      </c>
      <c r="O26" s="3">
        <v>1</v>
      </c>
      <c r="P26" s="3">
        <v>1</v>
      </c>
      <c r="Q26" s="3">
        <v>1</v>
      </c>
      <c r="R26">
        <v>6704</v>
      </c>
      <c r="S26" cm="1">
        <f t="array" ref="S26">INDEX(($E$2:$E$81 + $H$2:$H$81), MATCH(1,($A$2:$A$81=O26)*($B$2:$B$81=Q26)*($C$2:$C$81=P26), 0))</f>
        <v>10096</v>
      </c>
      <c r="T26" cm="1">
        <f t="array" ref="T26">INDEX($D$2:$D$81, MATCH(1,($A$2:$A$81=O26)*($B$2:$B$81=Q26)*($C$2:$C$81=P26), 0))</f>
        <v>24.1784762424288</v>
      </c>
      <c r="U26" cm="1">
        <f t="array" ref="U26">INDEX(($E$2:$E$81)*($J$2:$J$81), MATCH(1,($A$2:$A$81=O26)*($B$2:$B$81=Q26)*($C$2:$C$81=P26), 0))</f>
        <v>0</v>
      </c>
      <c r="V26">
        <f t="shared" si="3"/>
        <v>0</v>
      </c>
      <c r="W26">
        <v>20.792000000000002</v>
      </c>
      <c r="X26" s="3">
        <v>530</v>
      </c>
      <c r="Y26" cm="1">
        <f t="array" ref="Y26">INDEX($J$2:$J$81, MATCH(1,($A$2:$A$81=O26)*($B$2:$B$81=Q26)*($C$2:$C$81=P26), 0))</f>
        <v>0</v>
      </c>
      <c r="AD26">
        <f t="shared" si="1"/>
        <v>162092.50472924268</v>
      </c>
      <c r="AE26">
        <f t="shared" si="2"/>
        <v>0</v>
      </c>
      <c r="AF26">
        <f t="shared" si="4"/>
        <v>0</v>
      </c>
      <c r="AG26">
        <f t="shared" si="5"/>
        <v>0</v>
      </c>
      <c r="AH26">
        <f t="shared" si="6"/>
        <v>7052.6464000000005</v>
      </c>
    </row>
    <row r="27" spans="1:34" x14ac:dyDescent="0.2">
      <c r="A27" s="3">
        <v>2</v>
      </c>
      <c r="B27" s="3">
        <v>2</v>
      </c>
      <c r="C27" s="3">
        <v>1</v>
      </c>
      <c r="D27" s="7">
        <v>38.9553844034847</v>
      </c>
      <c r="E27" s="7">
        <v>0</v>
      </c>
      <c r="F27" s="7">
        <v>1867.145</v>
      </c>
      <c r="G27" s="7">
        <v>0</v>
      </c>
      <c r="H27" s="7">
        <v>3003.68</v>
      </c>
      <c r="I27" s="7">
        <v>1136.5350000000001</v>
      </c>
      <c r="J27">
        <f t="shared" si="0"/>
        <v>0</v>
      </c>
      <c r="O27" s="3">
        <v>2</v>
      </c>
      <c r="P27" s="3">
        <v>1</v>
      </c>
      <c r="Q27" s="3">
        <v>1</v>
      </c>
      <c r="R27">
        <v>3720</v>
      </c>
      <c r="S27" cm="1">
        <f t="array" ref="S27">INDEX(($E$2:$E$81 + $H$2:$H$81), MATCH(1,($A$2:$A$81=O27)*($B$2:$B$81=Q27)*($C$2:$C$81=P27), 0))</f>
        <v>20270.334999999999</v>
      </c>
      <c r="T27" cm="1">
        <f t="array" ref="T27">INDEX($D$2:$D$81, MATCH(1,($A$2:$A$81=O27)*($B$2:$B$81=Q27)*($C$2:$C$81=P27), 0))</f>
        <v>24.946972954805499</v>
      </c>
      <c r="U27" cm="1">
        <f t="array" ref="U27">INDEX(($E$2:$E$81)*($J$2:$J$81), MATCH(1,($A$2:$A$81=O27)*($B$2:$B$81=Q27)*($C$2:$C$81=P27), 0))</f>
        <v>14734.475</v>
      </c>
      <c r="V27">
        <f t="shared" si="3"/>
        <v>0</v>
      </c>
      <c r="W27">
        <v>20.792000000000002</v>
      </c>
      <c r="X27" s="3">
        <v>530</v>
      </c>
      <c r="Y27" cm="1">
        <f t="array" ref="Y27">INDEX($J$2:$J$81, MATCH(1,($A$2:$A$81=O27)*($B$2:$B$81=Q27)*($C$2:$C$81=P27), 0))</f>
        <v>1</v>
      </c>
      <c r="AD27">
        <f t="shared" si="1"/>
        <v>92802.739391876457</v>
      </c>
      <c r="AE27">
        <f t="shared" si="2"/>
        <v>306359.20420000004</v>
      </c>
      <c r="AF27">
        <f t="shared" si="4"/>
        <v>530</v>
      </c>
      <c r="AG27">
        <f t="shared" si="5"/>
        <v>0</v>
      </c>
      <c r="AH27">
        <f t="shared" si="6"/>
        <v>34411.456532000004</v>
      </c>
    </row>
    <row r="28" spans="1:34" x14ac:dyDescent="0.2">
      <c r="A28" s="3">
        <v>2</v>
      </c>
      <c r="B28" s="3">
        <v>3</v>
      </c>
      <c r="C28" s="3">
        <v>0</v>
      </c>
      <c r="D28" s="7">
        <v>59.888850651478201</v>
      </c>
      <c r="E28" s="7">
        <v>1817.115</v>
      </c>
      <c r="F28" s="7">
        <v>929.71</v>
      </c>
      <c r="G28" s="7">
        <v>0</v>
      </c>
      <c r="H28" s="7">
        <v>1544.2</v>
      </c>
      <c r="I28" s="7">
        <v>2431.605</v>
      </c>
      <c r="J28">
        <f t="shared" si="0"/>
        <v>1</v>
      </c>
      <c r="O28" s="3">
        <v>3</v>
      </c>
      <c r="P28" s="3">
        <v>1</v>
      </c>
      <c r="Q28" s="3">
        <v>1</v>
      </c>
      <c r="R28">
        <v>7342</v>
      </c>
      <c r="S28" cm="1">
        <f t="array" ref="S28">INDEX(($E$2:$E$81 + $H$2:$H$81), MATCH(1,($A$2:$A$81=O28)*($B$2:$B$81=Q28)*($C$2:$C$81=P28), 0))</f>
        <v>14593.514999999999</v>
      </c>
      <c r="T28" cm="1">
        <f t="array" ref="T28">INDEX($D$2:$D$81, MATCH(1,($A$2:$A$81=O28)*($B$2:$B$81=Q28)*($C$2:$C$81=P28), 0))</f>
        <v>24.837122994776799</v>
      </c>
      <c r="U28" cm="1">
        <f t="array" ref="U28">INDEX(($E$2:$E$81)*($J$2:$J$81), MATCH(1,($A$2:$A$81=O28)*($B$2:$B$81=Q28)*($C$2:$C$81=P28), 0))</f>
        <v>0</v>
      </c>
      <c r="V28">
        <f t="shared" si="3"/>
        <v>0</v>
      </c>
      <c r="W28">
        <v>20.792000000000002</v>
      </c>
      <c r="X28" s="3">
        <v>530</v>
      </c>
      <c r="Y28" cm="1">
        <f t="array" ref="Y28">INDEX($J$2:$J$81, MATCH(1,($A$2:$A$81=O28)*($B$2:$B$81=Q28)*($C$2:$C$81=P28), 0))</f>
        <v>0</v>
      </c>
      <c r="AD28">
        <f t="shared" si="1"/>
        <v>182354.15702765126</v>
      </c>
      <c r="AE28">
        <f t="shared" si="2"/>
        <v>0</v>
      </c>
      <c r="AF28">
        <f t="shared" si="4"/>
        <v>0</v>
      </c>
      <c r="AG28">
        <f t="shared" si="5"/>
        <v>0</v>
      </c>
      <c r="AH28">
        <f t="shared" si="6"/>
        <v>15077.349988</v>
      </c>
    </row>
    <row r="29" spans="1:34" x14ac:dyDescent="0.2">
      <c r="A29" s="3">
        <v>2</v>
      </c>
      <c r="B29" s="3">
        <v>3</v>
      </c>
      <c r="C29" s="3">
        <v>1</v>
      </c>
      <c r="D29" s="7">
        <v>71.345741498829398</v>
      </c>
      <c r="E29" s="7">
        <v>0</v>
      </c>
      <c r="F29" s="7">
        <v>495.04</v>
      </c>
      <c r="G29" s="7">
        <v>0</v>
      </c>
      <c r="H29" s="7">
        <v>1213.25</v>
      </c>
      <c r="I29" s="7">
        <v>718.21</v>
      </c>
      <c r="J29">
        <f t="shared" si="0"/>
        <v>0</v>
      </c>
      <c r="O29" s="3">
        <v>4</v>
      </c>
      <c r="P29" s="3">
        <v>1</v>
      </c>
      <c r="Q29" s="3">
        <v>1</v>
      </c>
      <c r="R29">
        <v>6453</v>
      </c>
      <c r="S29" cm="1">
        <f t="array" ref="S29">INDEX(($E$2:$E$81 + $H$2:$H$81), MATCH(1,($A$2:$A$81=O29)*($B$2:$B$81=Q29)*($C$2:$C$81=P29), 0))</f>
        <v>8891.2349999999897</v>
      </c>
      <c r="T29" cm="1">
        <f t="array" ref="T29">INDEX($D$2:$D$81, MATCH(1,($A$2:$A$81=O29)*($B$2:$B$81=Q29)*($C$2:$C$81=P29), 0))</f>
        <v>22.938181992026301</v>
      </c>
      <c r="U29" cm="1">
        <f t="array" ref="U29">INDEX(($E$2:$E$81)*($J$2:$J$81), MATCH(1,($A$2:$A$81=O29)*($B$2:$B$81=Q29)*($C$2:$C$81=P29), 0))</f>
        <v>0</v>
      </c>
      <c r="V29">
        <f t="shared" si="3"/>
        <v>0</v>
      </c>
      <c r="W29">
        <v>20.792000000000002</v>
      </c>
      <c r="X29" s="3">
        <v>530</v>
      </c>
      <c r="Y29" cm="1">
        <f t="array" ref="Y29">INDEX($J$2:$J$81, MATCH(1,($A$2:$A$81=O29)*($B$2:$B$81=Q29)*($C$2:$C$81=P29), 0))</f>
        <v>0</v>
      </c>
      <c r="AD29">
        <f t="shared" si="1"/>
        <v>148020.08839454572</v>
      </c>
      <c r="AE29">
        <f t="shared" si="2"/>
        <v>0</v>
      </c>
      <c r="AF29">
        <f t="shared" si="4"/>
        <v>0</v>
      </c>
      <c r="AG29">
        <f t="shared" si="5"/>
        <v>0</v>
      </c>
      <c r="AH29">
        <f t="shared" si="6"/>
        <v>5069.5782119999785</v>
      </c>
    </row>
    <row r="30" spans="1:34" x14ac:dyDescent="0.2">
      <c r="A30" s="3">
        <v>2</v>
      </c>
      <c r="B30" s="3">
        <v>4</v>
      </c>
      <c r="C30" s="3">
        <v>0</v>
      </c>
      <c r="D30" s="7">
        <v>29.447103932738099</v>
      </c>
      <c r="E30" s="7">
        <v>13441.1</v>
      </c>
      <c r="F30" s="7">
        <v>4876.62</v>
      </c>
      <c r="G30" s="7">
        <v>0</v>
      </c>
      <c r="H30" s="7">
        <v>8156.46</v>
      </c>
      <c r="I30" s="7">
        <v>16720.939999999999</v>
      </c>
      <c r="J30">
        <f t="shared" si="0"/>
        <v>1</v>
      </c>
      <c r="O30" s="3">
        <v>1</v>
      </c>
      <c r="P30" s="3">
        <v>0</v>
      </c>
      <c r="Q30" s="3">
        <v>2</v>
      </c>
      <c r="R30">
        <v>3583</v>
      </c>
      <c r="S30" cm="1">
        <f t="array" ref="S30">INDEX(($E$2:$E$81 + $H$2:$H$81), MATCH(1,($A$2:$A$81=O30)*($B$2:$B$81=Q30)*($C$2:$C$81=P30), 0))</f>
        <v>5695</v>
      </c>
      <c r="T30" cm="1">
        <f t="array" ref="T30">INDEX($D$2:$D$81, MATCH(1,($A$2:$A$81=O30)*($B$2:$B$81=Q30)*($C$2:$C$81=P30), 0))</f>
        <v>42.7466089776769</v>
      </c>
      <c r="U30" cm="1">
        <f t="array" ref="U30">INDEX(($E$2:$E$81)*($J$2:$J$81), MATCH(1,($A$2:$A$81=O30)*($B$2:$B$81=Q30)*($C$2:$C$81=P30), 0))</f>
        <v>0</v>
      </c>
      <c r="V30">
        <f t="shared" si="3"/>
        <v>0</v>
      </c>
      <c r="W30">
        <v>31.992000000000004</v>
      </c>
      <c r="X30" s="3">
        <v>530</v>
      </c>
      <c r="Y30" cm="1">
        <f t="array" ref="Y30">INDEX($J$2:$J$81, MATCH(1,($A$2:$A$81=O30)*($B$2:$B$81=Q30)*($C$2:$C$81=P30), 0))</f>
        <v>0</v>
      </c>
      <c r="AD30">
        <f t="shared" si="1"/>
        <v>153161.09996701634</v>
      </c>
      <c r="AE30">
        <f t="shared" si="2"/>
        <v>0</v>
      </c>
      <c r="AF30">
        <f t="shared" si="4"/>
        <v>0</v>
      </c>
      <c r="AG30">
        <f t="shared" si="5"/>
        <v>0</v>
      </c>
      <c r="AH30">
        <f t="shared" si="6"/>
        <v>6756.7104000000018</v>
      </c>
    </row>
    <row r="31" spans="1:34" x14ac:dyDescent="0.2">
      <c r="A31" s="3">
        <v>2</v>
      </c>
      <c r="B31" s="3">
        <v>4</v>
      </c>
      <c r="C31" s="3">
        <v>1</v>
      </c>
      <c r="D31" s="7">
        <v>31.288308496382101</v>
      </c>
      <c r="E31" s="7">
        <v>13480.375</v>
      </c>
      <c r="F31" s="7">
        <v>6125.085</v>
      </c>
      <c r="G31" s="7">
        <v>0</v>
      </c>
      <c r="H31" s="7">
        <v>5635.89</v>
      </c>
      <c r="I31" s="7">
        <v>12991.18</v>
      </c>
      <c r="J31">
        <f t="shared" si="0"/>
        <v>1</v>
      </c>
      <c r="O31" s="3">
        <v>2</v>
      </c>
      <c r="P31" s="3">
        <v>0</v>
      </c>
      <c r="Q31" s="3">
        <v>2</v>
      </c>
      <c r="R31">
        <v>3798</v>
      </c>
      <c r="S31" cm="1">
        <f t="array" ref="S31">INDEX(($E$2:$E$81 + $H$2:$H$81), MATCH(1,($A$2:$A$81=O31)*($B$2:$B$81=Q31)*($C$2:$C$81=P31), 0))</f>
        <v>3869.36</v>
      </c>
      <c r="T31" cm="1">
        <f t="array" ref="T31">INDEX($D$2:$D$81, MATCH(1,($A$2:$A$81=O31)*($B$2:$B$81=Q31)*($C$2:$C$81=P31), 0))</f>
        <v>43.915172937049697</v>
      </c>
      <c r="U31" cm="1">
        <f t="array" ref="U31">INDEX(($E$2:$E$81)*($J$2:$J$81), MATCH(1,($A$2:$A$81=O31)*($B$2:$B$81=Q31)*($C$2:$C$81=P31), 0))</f>
        <v>0</v>
      </c>
      <c r="V31">
        <f t="shared" si="3"/>
        <v>0</v>
      </c>
      <c r="W31">
        <v>31.992000000000004</v>
      </c>
      <c r="X31" s="3">
        <v>530</v>
      </c>
      <c r="Y31" cm="1">
        <f t="array" ref="Y31">INDEX($J$2:$J$81, MATCH(1,($A$2:$A$81=O31)*($B$2:$B$81=Q31)*($C$2:$C$81=P31), 0))</f>
        <v>0</v>
      </c>
      <c r="AD31">
        <f t="shared" si="1"/>
        <v>166789.82681491473</v>
      </c>
      <c r="AE31">
        <f t="shared" si="2"/>
        <v>0</v>
      </c>
      <c r="AF31">
        <f t="shared" si="4"/>
        <v>0</v>
      </c>
      <c r="AG31">
        <f t="shared" si="5"/>
        <v>0</v>
      </c>
      <c r="AH31">
        <f t="shared" si="6"/>
        <v>228.29491200000047</v>
      </c>
    </row>
    <row r="32" spans="1:34" x14ac:dyDescent="0.2">
      <c r="A32" s="3">
        <v>2</v>
      </c>
      <c r="B32" s="3">
        <v>5</v>
      </c>
      <c r="C32" s="3">
        <v>0</v>
      </c>
      <c r="D32" s="7">
        <v>56.803543349730298</v>
      </c>
      <c r="E32" s="7">
        <v>0</v>
      </c>
      <c r="F32" s="7">
        <v>1149.905</v>
      </c>
      <c r="G32" s="7">
        <v>0</v>
      </c>
      <c r="H32" s="7">
        <v>2289.2399999999998</v>
      </c>
      <c r="I32" s="7">
        <v>1139.335</v>
      </c>
      <c r="J32">
        <f t="shared" si="0"/>
        <v>0</v>
      </c>
      <c r="O32" s="3">
        <v>3</v>
      </c>
      <c r="P32" s="3">
        <v>0</v>
      </c>
      <c r="Q32" s="3">
        <v>2</v>
      </c>
      <c r="R32">
        <v>3229</v>
      </c>
      <c r="S32" cm="1">
        <f t="array" ref="S32">INDEX(($E$2:$E$81 + $H$2:$H$81), MATCH(1,($A$2:$A$81=O32)*($B$2:$B$81=Q32)*($C$2:$C$81=P32), 0))</f>
        <v>8290.34</v>
      </c>
      <c r="T32" cm="1">
        <f t="array" ref="T32">INDEX($D$2:$D$81, MATCH(1,($A$2:$A$81=O32)*($B$2:$B$81=Q32)*($C$2:$C$81=P32), 0))</f>
        <v>40.455000571821202</v>
      </c>
      <c r="U32" cm="1">
        <f t="array" ref="U32">INDEX(($E$2:$E$81)*($J$2:$J$81), MATCH(1,($A$2:$A$81=O32)*($B$2:$B$81=Q32)*($C$2:$C$81=P32), 0))</f>
        <v>7447.64</v>
      </c>
      <c r="V32">
        <f t="shared" si="3"/>
        <v>0</v>
      </c>
      <c r="W32">
        <v>31.992000000000004</v>
      </c>
      <c r="X32" s="3">
        <v>530</v>
      </c>
      <c r="Y32" cm="1">
        <f t="array" ref="Y32">INDEX($J$2:$J$81, MATCH(1,($A$2:$A$81=O32)*($B$2:$B$81=Q32)*($C$2:$C$81=P32), 0))</f>
        <v>1</v>
      </c>
      <c r="AD32">
        <f t="shared" si="1"/>
        <v>130629.19684641066</v>
      </c>
      <c r="AE32">
        <f t="shared" si="2"/>
        <v>238264.89888000005</v>
      </c>
      <c r="AF32">
        <f t="shared" si="4"/>
        <v>530</v>
      </c>
      <c r="AG32">
        <f t="shared" si="5"/>
        <v>0</v>
      </c>
      <c r="AH32">
        <f t="shared" si="6"/>
        <v>16192.238928000004</v>
      </c>
    </row>
    <row r="33" spans="1:34" x14ac:dyDescent="0.2">
      <c r="A33" s="3">
        <v>2</v>
      </c>
      <c r="B33" s="3">
        <v>5</v>
      </c>
      <c r="C33" s="3">
        <v>1</v>
      </c>
      <c r="D33" s="7">
        <v>67.2318494808396</v>
      </c>
      <c r="E33" s="7">
        <v>0</v>
      </c>
      <c r="F33" s="7">
        <v>1094.105</v>
      </c>
      <c r="G33" s="7">
        <v>0</v>
      </c>
      <c r="H33" s="7">
        <v>2225.8150000000001</v>
      </c>
      <c r="I33" s="7">
        <v>1131.71</v>
      </c>
      <c r="J33">
        <f t="shared" si="0"/>
        <v>0</v>
      </c>
      <c r="O33" s="3">
        <v>4</v>
      </c>
      <c r="P33" s="3">
        <v>0</v>
      </c>
      <c r="Q33" s="3">
        <v>2</v>
      </c>
      <c r="R33">
        <v>2355</v>
      </c>
      <c r="S33" cm="1">
        <f t="array" ref="S33">INDEX(($E$2:$E$81 + $H$2:$H$81), MATCH(1,($A$2:$A$81=O33)*($B$2:$B$81=Q33)*($C$2:$C$81=P33), 0))</f>
        <v>5675.42</v>
      </c>
      <c r="T33" cm="1">
        <f t="array" ref="T33">INDEX($D$2:$D$81, MATCH(1,($A$2:$A$81=O33)*($B$2:$B$81=Q33)*($C$2:$C$81=P33), 0))</f>
        <v>41.046520299520502</v>
      </c>
      <c r="U33" cm="1">
        <f t="array" ref="U33">INDEX(($E$2:$E$81)*($J$2:$J$81), MATCH(1,($A$2:$A$81=O33)*($B$2:$B$81=Q33)*($C$2:$C$81=P33), 0))</f>
        <v>0</v>
      </c>
      <c r="V33">
        <f t="shared" si="3"/>
        <v>0</v>
      </c>
      <c r="W33">
        <v>31.992000000000004</v>
      </c>
      <c r="X33" s="3">
        <v>530</v>
      </c>
      <c r="Y33" cm="1">
        <f t="array" ref="Y33">INDEX($J$2:$J$81, MATCH(1,($A$2:$A$81=O33)*($B$2:$B$81=Q33)*($C$2:$C$81=P33), 0))</f>
        <v>0</v>
      </c>
      <c r="AD33">
        <f t="shared" si="1"/>
        <v>96664.555305370784</v>
      </c>
      <c r="AE33">
        <f t="shared" si="2"/>
        <v>0</v>
      </c>
      <c r="AF33">
        <f t="shared" si="4"/>
        <v>0</v>
      </c>
      <c r="AG33">
        <f t="shared" si="5"/>
        <v>0</v>
      </c>
      <c r="AH33">
        <f t="shared" si="6"/>
        <v>10622.687664000003</v>
      </c>
    </row>
    <row r="34" spans="1:34" x14ac:dyDescent="0.2">
      <c r="A34" s="3">
        <v>2</v>
      </c>
      <c r="B34" s="3">
        <v>6</v>
      </c>
      <c r="C34" s="3">
        <v>0</v>
      </c>
      <c r="D34" s="7">
        <v>83.422480882829205</v>
      </c>
      <c r="E34" s="7">
        <v>0</v>
      </c>
      <c r="F34" s="7">
        <v>1820.635</v>
      </c>
      <c r="G34" s="7">
        <v>0</v>
      </c>
      <c r="H34" s="7">
        <v>4750.9049999999997</v>
      </c>
      <c r="I34" s="7">
        <v>2930.27</v>
      </c>
      <c r="J34">
        <f t="shared" si="0"/>
        <v>0</v>
      </c>
      <c r="O34" s="3">
        <v>1</v>
      </c>
      <c r="P34" s="3">
        <v>1</v>
      </c>
      <c r="Q34" s="3">
        <v>2</v>
      </c>
      <c r="R34">
        <v>3907</v>
      </c>
      <c r="S34" cm="1">
        <f t="array" ref="S34">INDEX(($E$2:$E$81 + $H$2:$H$81), MATCH(1,($A$2:$A$81=O34)*($B$2:$B$81=Q34)*($C$2:$C$81=P34), 0))</f>
        <v>5021</v>
      </c>
      <c r="T34" cm="1">
        <f t="array" ref="T34">INDEX($D$2:$D$81, MATCH(1,($A$2:$A$81=O34)*($B$2:$B$81=Q34)*($C$2:$C$81=P34), 0))</f>
        <v>34.604610214851697</v>
      </c>
      <c r="U34" cm="1">
        <f t="array" ref="U34">INDEX(($E$2:$E$81)*($J$2:$J$81), MATCH(1,($A$2:$A$81=O34)*($B$2:$B$81=Q34)*($C$2:$C$81=P34), 0))</f>
        <v>0</v>
      </c>
      <c r="V34">
        <f t="shared" si="3"/>
        <v>0</v>
      </c>
      <c r="W34">
        <v>31.992000000000004</v>
      </c>
      <c r="X34" s="3">
        <v>530</v>
      </c>
      <c r="Y34" cm="1">
        <f t="array" ref="Y34">INDEX($J$2:$J$81, MATCH(1,($A$2:$A$81=O34)*($B$2:$B$81=Q34)*($C$2:$C$81=P34), 0))</f>
        <v>0</v>
      </c>
      <c r="AD34">
        <f t="shared" si="1"/>
        <v>135200.21210942557</v>
      </c>
      <c r="AE34">
        <f t="shared" si="2"/>
        <v>0</v>
      </c>
      <c r="AF34">
        <f t="shared" si="4"/>
        <v>0</v>
      </c>
      <c r="AG34">
        <f t="shared" si="5"/>
        <v>0</v>
      </c>
      <c r="AH34">
        <f t="shared" si="6"/>
        <v>3563.9088000000006</v>
      </c>
    </row>
    <row r="35" spans="1:34" x14ac:dyDescent="0.2">
      <c r="A35" s="3">
        <v>2</v>
      </c>
      <c r="B35" s="3">
        <v>6</v>
      </c>
      <c r="C35" s="3">
        <v>1</v>
      </c>
      <c r="D35" s="7">
        <v>86.067851179132006</v>
      </c>
      <c r="E35" s="7">
        <v>0</v>
      </c>
      <c r="F35" s="7">
        <v>2244.0749999999998</v>
      </c>
      <c r="G35" s="7">
        <v>0</v>
      </c>
      <c r="H35" s="7">
        <v>5948.34</v>
      </c>
      <c r="I35" s="7">
        <v>3704.2649999999999</v>
      </c>
      <c r="J35">
        <f t="shared" si="0"/>
        <v>0</v>
      </c>
      <c r="O35" s="3">
        <v>2</v>
      </c>
      <c r="P35" s="3">
        <v>1</v>
      </c>
      <c r="Q35" s="3">
        <v>2</v>
      </c>
      <c r="R35">
        <v>2830</v>
      </c>
      <c r="S35" cm="1">
        <f t="array" ref="S35">INDEX(($E$2:$E$81 + $H$2:$H$81), MATCH(1,($A$2:$A$81=O35)*($B$2:$B$81=Q35)*($C$2:$C$81=P35), 0))</f>
        <v>3003.68</v>
      </c>
      <c r="T35" cm="1">
        <f t="array" ref="T35">INDEX($D$2:$D$81, MATCH(1,($A$2:$A$81=O35)*($B$2:$B$81=Q35)*($C$2:$C$81=P35), 0))</f>
        <v>38.9553844034847</v>
      </c>
      <c r="U35" cm="1">
        <f t="array" ref="U35">INDEX(($E$2:$E$81)*($J$2:$J$81), MATCH(1,($A$2:$A$81=O35)*($B$2:$B$81=Q35)*($C$2:$C$81=P35), 0))</f>
        <v>0</v>
      </c>
      <c r="V35">
        <f t="shared" si="3"/>
        <v>0</v>
      </c>
      <c r="W35">
        <v>31.992000000000004</v>
      </c>
      <c r="X35" s="3">
        <v>530</v>
      </c>
      <c r="Y35" cm="1">
        <f t="array" ref="Y35">INDEX($J$2:$J$81, MATCH(1,($A$2:$A$81=O35)*($B$2:$B$81=Q35)*($C$2:$C$81=P35), 0))</f>
        <v>0</v>
      </c>
      <c r="AD35">
        <f t="shared" si="1"/>
        <v>110243.73786186171</v>
      </c>
      <c r="AE35">
        <f t="shared" si="2"/>
        <v>0</v>
      </c>
      <c r="AF35">
        <f t="shared" si="4"/>
        <v>0</v>
      </c>
      <c r="AG35">
        <f t="shared" si="5"/>
        <v>0</v>
      </c>
      <c r="AH35">
        <f t="shared" si="6"/>
        <v>555.63705599999957</v>
      </c>
    </row>
    <row r="36" spans="1:34" x14ac:dyDescent="0.2">
      <c r="A36" s="3">
        <v>2</v>
      </c>
      <c r="B36" s="3">
        <v>7</v>
      </c>
      <c r="C36" s="3">
        <v>0</v>
      </c>
      <c r="D36" s="7">
        <v>63.208161490024501</v>
      </c>
      <c r="E36" s="7">
        <v>0</v>
      </c>
      <c r="F36" s="7">
        <v>2191.1149999999998</v>
      </c>
      <c r="G36" s="7">
        <v>0</v>
      </c>
      <c r="H36" s="7">
        <v>3712.07</v>
      </c>
      <c r="I36" s="7">
        <v>1520.9549999999999</v>
      </c>
      <c r="J36">
        <f t="shared" si="0"/>
        <v>0</v>
      </c>
      <c r="O36" s="3">
        <v>3</v>
      </c>
      <c r="P36" s="3">
        <v>1</v>
      </c>
      <c r="Q36" s="3">
        <v>2</v>
      </c>
      <c r="R36">
        <v>6045</v>
      </c>
      <c r="S36" cm="1">
        <f t="array" ref="S36">INDEX(($E$2:$E$81 + $H$2:$H$81), MATCH(1,($A$2:$A$81=O36)*($B$2:$B$81=Q36)*($C$2:$C$81=P36), 0))</f>
        <v>8578.8350000000009</v>
      </c>
      <c r="T36" cm="1">
        <f t="array" ref="T36">INDEX($D$2:$D$81, MATCH(1,($A$2:$A$81=O36)*($B$2:$B$81=Q36)*($C$2:$C$81=P36), 0))</f>
        <v>36.063719695662797</v>
      </c>
      <c r="U36" cm="1">
        <f t="array" ref="U36">INDEX(($E$2:$E$81)*($J$2:$J$81), MATCH(1,($A$2:$A$81=O36)*($B$2:$B$81=Q36)*($C$2:$C$81=P36), 0))</f>
        <v>7442.3</v>
      </c>
      <c r="V36">
        <f t="shared" si="3"/>
        <v>0</v>
      </c>
      <c r="W36">
        <v>31.992000000000004</v>
      </c>
      <c r="X36" s="3">
        <v>530</v>
      </c>
      <c r="Y36" cm="1">
        <f t="array" ref="Y36">INDEX($J$2:$J$81, MATCH(1,($A$2:$A$81=O36)*($B$2:$B$81=Q36)*($C$2:$C$81=P36), 0))</f>
        <v>1</v>
      </c>
      <c r="AD36">
        <f t="shared" si="1"/>
        <v>218005.18556028162</v>
      </c>
      <c r="AE36">
        <f t="shared" si="2"/>
        <v>238094.06160000004</v>
      </c>
      <c r="AF36">
        <f t="shared" si="4"/>
        <v>530</v>
      </c>
      <c r="AG36">
        <f t="shared" si="5"/>
        <v>0</v>
      </c>
      <c r="AH36">
        <f t="shared" si="6"/>
        <v>8106.2449320000051</v>
      </c>
    </row>
    <row r="37" spans="1:34" x14ac:dyDescent="0.2">
      <c r="A37" s="3">
        <v>2</v>
      </c>
      <c r="B37" s="3">
        <v>7</v>
      </c>
      <c r="C37" s="3">
        <v>1</v>
      </c>
      <c r="D37" s="7">
        <v>64.139158689195</v>
      </c>
      <c r="E37" s="7">
        <v>0</v>
      </c>
      <c r="F37" s="7">
        <v>1356.885</v>
      </c>
      <c r="G37" s="7">
        <v>0</v>
      </c>
      <c r="H37" s="7">
        <v>3434.04</v>
      </c>
      <c r="I37" s="7">
        <v>2077.1550000000002</v>
      </c>
      <c r="J37">
        <f t="shared" si="0"/>
        <v>0</v>
      </c>
      <c r="O37" s="3">
        <v>4</v>
      </c>
      <c r="P37" s="3">
        <v>1</v>
      </c>
      <c r="Q37" s="3">
        <v>2</v>
      </c>
      <c r="R37">
        <v>2870</v>
      </c>
      <c r="S37" cm="1">
        <f t="array" ref="S37">INDEX(($E$2:$E$81 + $H$2:$H$81), MATCH(1,($A$2:$A$81=O37)*($B$2:$B$81=Q37)*($C$2:$C$81=P37), 0))</f>
        <v>6036.52</v>
      </c>
      <c r="T37" cm="1">
        <f t="array" ref="T37">INDEX($D$2:$D$81, MATCH(1,($A$2:$A$81=O37)*($B$2:$B$81=Q37)*($C$2:$C$81=P37), 0))</f>
        <v>40.262127955796402</v>
      </c>
      <c r="U37" cm="1">
        <f t="array" ref="U37">INDEX(($E$2:$E$81)*($J$2:$J$81), MATCH(1,($A$2:$A$81=O37)*($B$2:$B$81=Q37)*($C$2:$C$81=P37), 0))</f>
        <v>0</v>
      </c>
      <c r="V37">
        <f t="shared" si="3"/>
        <v>0</v>
      </c>
      <c r="W37">
        <v>31.992000000000004</v>
      </c>
      <c r="X37" s="3">
        <v>530</v>
      </c>
      <c r="Y37" cm="1">
        <f t="array" ref="Y37">INDEX($J$2:$J$81, MATCH(1,($A$2:$A$81=O37)*($B$2:$B$81=Q37)*($C$2:$C$81=P37), 0))</f>
        <v>0</v>
      </c>
      <c r="AD37">
        <f t="shared" si="1"/>
        <v>115552.30723313567</v>
      </c>
      <c r="AE37">
        <f t="shared" si="2"/>
        <v>0</v>
      </c>
      <c r="AF37">
        <f t="shared" si="4"/>
        <v>0</v>
      </c>
      <c r="AG37">
        <f t="shared" si="5"/>
        <v>0</v>
      </c>
      <c r="AH37">
        <f t="shared" si="6"/>
        <v>10130.330784000003</v>
      </c>
    </row>
    <row r="38" spans="1:34" x14ac:dyDescent="0.2">
      <c r="A38" s="3">
        <v>2</v>
      </c>
      <c r="B38" s="3">
        <v>8</v>
      </c>
      <c r="C38" s="3">
        <v>0</v>
      </c>
      <c r="D38" s="7">
        <v>38.797051956457601</v>
      </c>
      <c r="E38" s="7">
        <v>8182.38</v>
      </c>
      <c r="F38" s="7">
        <v>3016.2649999999999</v>
      </c>
      <c r="G38" s="7">
        <v>0</v>
      </c>
      <c r="H38" s="7">
        <v>3947.9050000000002</v>
      </c>
      <c r="I38" s="7">
        <v>9114.02</v>
      </c>
      <c r="J38">
        <f t="shared" si="0"/>
        <v>1</v>
      </c>
      <c r="O38" s="3">
        <v>1</v>
      </c>
      <c r="P38" s="3">
        <v>0</v>
      </c>
      <c r="Q38" s="3">
        <v>3</v>
      </c>
      <c r="R38">
        <v>1437</v>
      </c>
      <c r="S38" cm="1">
        <f t="array" ref="S38">INDEX(($E$2:$E$81 + $H$2:$H$81), MATCH(1,($A$2:$A$81=O38)*($B$2:$B$81=Q38)*($C$2:$C$81=P38), 0))</f>
        <v>2235</v>
      </c>
      <c r="T38" cm="1">
        <f t="array" ref="T38">INDEX($D$2:$D$81, MATCH(1,($A$2:$A$81=O38)*($B$2:$B$81=Q38)*($C$2:$C$81=P38), 0))</f>
        <v>65.778847269937799</v>
      </c>
      <c r="U38" cm="1">
        <f t="array" ref="U38">INDEX(($E$2:$E$81)*($J$2:$J$81), MATCH(1,($A$2:$A$81=O38)*($B$2:$B$81=Q38)*($C$2:$C$81=P38), 0))</f>
        <v>0</v>
      </c>
      <c r="V38">
        <f t="shared" si="3"/>
        <v>0</v>
      </c>
      <c r="W38">
        <v>52.792000000000002</v>
      </c>
      <c r="X38" s="3">
        <v>320</v>
      </c>
      <c r="Y38" cm="1">
        <f t="array" ref="Y38">INDEX($J$2:$J$81, MATCH(1,($A$2:$A$81=O38)*($B$2:$B$81=Q38)*($C$2:$C$81=P38), 0))</f>
        <v>0</v>
      </c>
      <c r="AD38">
        <f t="shared" si="1"/>
        <v>94524.203526900616</v>
      </c>
      <c r="AE38">
        <f t="shared" si="2"/>
        <v>0</v>
      </c>
      <c r="AF38">
        <f t="shared" si="4"/>
        <v>0</v>
      </c>
      <c r="AG38">
        <f t="shared" si="5"/>
        <v>0</v>
      </c>
      <c r="AH38">
        <f t="shared" si="6"/>
        <v>4212.8016000000007</v>
      </c>
    </row>
    <row r="39" spans="1:34" x14ac:dyDescent="0.2">
      <c r="A39" s="3">
        <v>2</v>
      </c>
      <c r="B39" s="3">
        <v>8</v>
      </c>
      <c r="C39" s="3">
        <v>1</v>
      </c>
      <c r="D39" s="7">
        <v>40.752632501809799</v>
      </c>
      <c r="E39" s="7">
        <v>0</v>
      </c>
      <c r="F39" s="7">
        <v>2135.5549999999998</v>
      </c>
      <c r="G39" s="7">
        <v>0</v>
      </c>
      <c r="H39" s="7">
        <v>3753.835</v>
      </c>
      <c r="I39" s="7">
        <v>1618.28</v>
      </c>
      <c r="J39">
        <f t="shared" si="0"/>
        <v>0</v>
      </c>
      <c r="O39" s="3">
        <v>2</v>
      </c>
      <c r="P39" s="3">
        <v>0</v>
      </c>
      <c r="Q39" s="3">
        <v>3</v>
      </c>
      <c r="R39">
        <v>932</v>
      </c>
      <c r="S39" cm="1">
        <f t="array" ref="S39">INDEX(($E$2:$E$81 + $H$2:$H$81), MATCH(1,($A$2:$A$81=O39)*($B$2:$B$81=Q39)*($C$2:$C$81=P39), 0))</f>
        <v>3361.3150000000001</v>
      </c>
      <c r="T39" cm="1">
        <f t="array" ref="T39">INDEX($D$2:$D$81, MATCH(1,($A$2:$A$81=O39)*($B$2:$B$81=Q39)*($C$2:$C$81=P39), 0))</f>
        <v>59.888850651478201</v>
      </c>
      <c r="U39" cm="1">
        <f t="array" ref="U39">INDEX(($E$2:$E$81)*($J$2:$J$81), MATCH(1,($A$2:$A$81=O39)*($B$2:$B$81=Q39)*($C$2:$C$81=P39), 0))</f>
        <v>1817.115</v>
      </c>
      <c r="V39">
        <f t="shared" si="3"/>
        <v>0</v>
      </c>
      <c r="W39">
        <v>52.792000000000002</v>
      </c>
      <c r="X39" s="3">
        <v>320</v>
      </c>
      <c r="Y39" cm="1">
        <f t="array" ref="Y39">INDEX($J$2:$J$81, MATCH(1,($A$2:$A$81=O39)*($B$2:$B$81=Q39)*($C$2:$C$81=P39), 0))</f>
        <v>1</v>
      </c>
      <c r="AD39">
        <f t="shared" si="1"/>
        <v>55816.408807177686</v>
      </c>
      <c r="AE39">
        <f t="shared" si="2"/>
        <v>95929.135080000007</v>
      </c>
      <c r="AF39">
        <f t="shared" si="4"/>
        <v>320</v>
      </c>
      <c r="AG39">
        <f t="shared" si="5"/>
        <v>0</v>
      </c>
      <c r="AH39">
        <f t="shared" si="6"/>
        <v>12824.839748</v>
      </c>
    </row>
    <row r="40" spans="1:34" x14ac:dyDescent="0.2">
      <c r="A40" s="3">
        <v>2</v>
      </c>
      <c r="B40" s="3">
        <v>9</v>
      </c>
      <c r="C40" s="3">
        <v>0</v>
      </c>
      <c r="D40" s="7">
        <v>23.159970761696801</v>
      </c>
      <c r="E40" s="7">
        <v>12594.09</v>
      </c>
      <c r="F40" s="7">
        <v>4404.0649999999996</v>
      </c>
      <c r="G40" s="7">
        <v>0</v>
      </c>
      <c r="H40" s="7">
        <v>6443.72</v>
      </c>
      <c r="I40" s="7">
        <v>14633.745000000001</v>
      </c>
      <c r="J40">
        <f t="shared" si="0"/>
        <v>1</v>
      </c>
      <c r="O40" s="3">
        <v>3</v>
      </c>
      <c r="P40" s="3">
        <v>0</v>
      </c>
      <c r="Q40" s="3">
        <v>3</v>
      </c>
      <c r="R40">
        <v>1841</v>
      </c>
      <c r="S40" cm="1">
        <f t="array" ref="S40">INDEX(($E$2:$E$81 + $H$2:$H$81), MATCH(1,($A$2:$A$81=O40)*($B$2:$B$81=Q40)*($C$2:$C$81=P40), 0))</f>
        <v>2431.605</v>
      </c>
      <c r="T40" cm="1">
        <f t="array" ref="T40">INDEX($D$2:$D$81, MATCH(1,($A$2:$A$81=O40)*($B$2:$B$81=Q40)*($C$2:$C$81=P40), 0))</f>
        <v>66.708485990866095</v>
      </c>
      <c r="U40" cm="1">
        <f t="array" ref="U40">INDEX(($E$2:$E$81)*($J$2:$J$81), MATCH(1,($A$2:$A$81=O40)*($B$2:$B$81=Q40)*($C$2:$C$81=P40), 0))</f>
        <v>0</v>
      </c>
      <c r="V40">
        <f t="shared" si="3"/>
        <v>0</v>
      </c>
      <c r="W40">
        <v>52.792000000000002</v>
      </c>
      <c r="X40" s="3">
        <v>320</v>
      </c>
      <c r="Y40" cm="1">
        <f t="array" ref="Y40">INDEX($J$2:$J$81, MATCH(1,($A$2:$A$81=O40)*($B$2:$B$81=Q40)*($C$2:$C$81=P40), 0))</f>
        <v>0</v>
      </c>
      <c r="AD40">
        <f t="shared" si="1"/>
        <v>122810.32270918447</v>
      </c>
      <c r="AE40">
        <f t="shared" si="2"/>
        <v>0</v>
      </c>
      <c r="AF40">
        <f t="shared" si="4"/>
        <v>0</v>
      </c>
      <c r="AG40">
        <f t="shared" si="5"/>
        <v>0</v>
      </c>
      <c r="AH40">
        <f t="shared" si="6"/>
        <v>3117.9219160000002</v>
      </c>
    </row>
    <row r="41" spans="1:34" x14ac:dyDescent="0.2">
      <c r="A41" s="3">
        <v>2</v>
      </c>
      <c r="B41" s="3">
        <v>9</v>
      </c>
      <c r="C41" s="3">
        <v>1</v>
      </c>
      <c r="D41" s="7">
        <v>23.951282746893501</v>
      </c>
      <c r="E41" s="7">
        <v>21591.1199999983</v>
      </c>
      <c r="F41" s="7">
        <v>7289.2550000000001</v>
      </c>
      <c r="G41" s="7">
        <v>0</v>
      </c>
      <c r="H41" s="7">
        <v>7834.87</v>
      </c>
      <c r="I41" s="7">
        <v>22136.734999998302</v>
      </c>
      <c r="J41">
        <f t="shared" si="0"/>
        <v>1</v>
      </c>
      <c r="O41" s="3">
        <v>4</v>
      </c>
      <c r="P41" s="3">
        <v>0</v>
      </c>
      <c r="Q41" s="3">
        <v>3</v>
      </c>
      <c r="R41">
        <v>1439</v>
      </c>
      <c r="S41" cm="1">
        <f t="array" ref="S41">INDEX(($E$2:$E$81 + $H$2:$H$81), MATCH(1,($A$2:$A$81=O41)*($B$2:$B$81=Q41)*($C$2:$C$81=P41), 0))</f>
        <v>1453.31</v>
      </c>
      <c r="T41" cm="1">
        <f t="array" ref="T41">INDEX($D$2:$D$81, MATCH(1,($A$2:$A$81=O41)*($B$2:$B$81=Q41)*($C$2:$C$81=P41), 0))</f>
        <v>70.761981760713297</v>
      </c>
      <c r="U41" cm="1">
        <f t="array" ref="U41">INDEX(($E$2:$E$81)*($J$2:$J$81), MATCH(1,($A$2:$A$81=O41)*($B$2:$B$81=Q41)*($C$2:$C$81=P41), 0))</f>
        <v>0</v>
      </c>
      <c r="V41">
        <f t="shared" si="3"/>
        <v>0</v>
      </c>
      <c r="W41">
        <v>52.792000000000002</v>
      </c>
      <c r="X41" s="3">
        <v>320</v>
      </c>
      <c r="Y41" cm="1">
        <f t="array" ref="Y41">INDEX($J$2:$J$81, MATCH(1,($A$2:$A$81=O41)*($B$2:$B$81=Q41)*($C$2:$C$81=P41), 0))</f>
        <v>0</v>
      </c>
      <c r="AD41">
        <f t="shared" si="1"/>
        <v>101826.49175366643</v>
      </c>
      <c r="AE41">
        <f t="shared" si="2"/>
        <v>0</v>
      </c>
      <c r="AF41">
        <f t="shared" si="4"/>
        <v>0</v>
      </c>
      <c r="AG41">
        <f t="shared" si="5"/>
        <v>0</v>
      </c>
      <c r="AH41">
        <f t="shared" si="6"/>
        <v>75.54535199999971</v>
      </c>
    </row>
    <row r="42" spans="1:34" x14ac:dyDescent="0.2">
      <c r="A42" s="3">
        <v>3</v>
      </c>
      <c r="B42" s="3">
        <v>0</v>
      </c>
      <c r="C42" s="3">
        <v>0</v>
      </c>
      <c r="D42" s="7">
        <v>36.7971003257733</v>
      </c>
      <c r="E42" s="7">
        <v>1270.54</v>
      </c>
      <c r="F42" s="7">
        <v>1984.34</v>
      </c>
      <c r="G42" s="7">
        <v>0</v>
      </c>
      <c r="H42" s="7">
        <v>5239.01</v>
      </c>
      <c r="I42" s="7">
        <v>4525.21</v>
      </c>
      <c r="J42">
        <f t="shared" si="0"/>
        <v>1</v>
      </c>
      <c r="O42" s="3">
        <v>1</v>
      </c>
      <c r="P42" s="3">
        <v>1</v>
      </c>
      <c r="Q42" s="3">
        <v>3</v>
      </c>
      <c r="R42">
        <v>826</v>
      </c>
      <c r="S42" cm="1">
        <f t="array" ref="S42">INDEX(($E$2:$E$81 + $H$2:$H$81), MATCH(1,($A$2:$A$81=O42)*($B$2:$B$81=Q42)*($C$2:$C$81=P42), 0))</f>
        <v>1721</v>
      </c>
      <c r="T42" cm="1">
        <f t="array" ref="T42">INDEX($D$2:$D$81, MATCH(1,($A$2:$A$81=O42)*($B$2:$B$81=Q42)*($C$2:$C$81=P42), 0))</f>
        <v>69.575054220152097</v>
      </c>
      <c r="U42" cm="1">
        <f t="array" ref="U42">INDEX(($E$2:$E$81)*($J$2:$J$81), MATCH(1,($A$2:$A$81=O42)*($B$2:$B$81=Q42)*($C$2:$C$81=P42), 0))</f>
        <v>0</v>
      </c>
      <c r="V42">
        <f t="shared" si="3"/>
        <v>0</v>
      </c>
      <c r="W42">
        <v>52.792000000000002</v>
      </c>
      <c r="X42" s="3">
        <v>320</v>
      </c>
      <c r="Y42" cm="1">
        <f t="array" ref="Y42">INDEX($J$2:$J$81, MATCH(1,($A$2:$A$81=O42)*($B$2:$B$81=Q42)*($C$2:$C$81=P42), 0))</f>
        <v>0</v>
      </c>
      <c r="AD42">
        <f t="shared" si="1"/>
        <v>57468.994785845629</v>
      </c>
      <c r="AE42">
        <f t="shared" si="2"/>
        <v>0</v>
      </c>
      <c r="AF42">
        <f t="shared" si="4"/>
        <v>0</v>
      </c>
      <c r="AG42">
        <f t="shared" si="5"/>
        <v>0</v>
      </c>
      <c r="AH42">
        <f t="shared" si="6"/>
        <v>4724.884</v>
      </c>
    </row>
    <row r="43" spans="1:34" x14ac:dyDescent="0.2">
      <c r="A43" s="3">
        <v>3</v>
      </c>
      <c r="B43" s="3">
        <v>0</v>
      </c>
      <c r="C43" s="3">
        <v>1</v>
      </c>
      <c r="D43" s="7">
        <v>38.449855894029803</v>
      </c>
      <c r="E43" s="7">
        <v>6028.3549999999996</v>
      </c>
      <c r="F43" s="7">
        <v>1543.2149999999999</v>
      </c>
      <c r="G43" s="7">
        <v>0</v>
      </c>
      <c r="H43" s="7">
        <v>653.30499999999995</v>
      </c>
      <c r="I43" s="7">
        <v>5138.4449999999997</v>
      </c>
      <c r="J43">
        <f t="shared" si="0"/>
        <v>1</v>
      </c>
      <c r="O43" s="3">
        <v>2</v>
      </c>
      <c r="P43" s="3">
        <v>1</v>
      </c>
      <c r="Q43" s="3">
        <v>3</v>
      </c>
      <c r="R43">
        <v>668</v>
      </c>
      <c r="S43" cm="1">
        <f t="array" ref="S43">INDEX(($E$2:$E$81 + $H$2:$H$81), MATCH(1,($A$2:$A$81=O43)*($B$2:$B$81=Q43)*($C$2:$C$81=P43), 0))</f>
        <v>1213.25</v>
      </c>
      <c r="T43" cm="1">
        <f t="array" ref="T43">INDEX($D$2:$D$81, MATCH(1,($A$2:$A$81=O43)*($B$2:$B$81=Q43)*($C$2:$C$81=P43), 0))</f>
        <v>71.345741498829398</v>
      </c>
      <c r="U43" cm="1">
        <f t="array" ref="U43">INDEX(($E$2:$E$81)*($J$2:$J$81), MATCH(1,($A$2:$A$81=O43)*($B$2:$B$81=Q43)*($C$2:$C$81=P43), 0))</f>
        <v>0</v>
      </c>
      <c r="V43">
        <f t="shared" si="3"/>
        <v>0</v>
      </c>
      <c r="W43">
        <v>52.792000000000002</v>
      </c>
      <c r="X43" s="3">
        <v>320</v>
      </c>
      <c r="Y43" cm="1">
        <f t="array" ref="Y43">INDEX($J$2:$J$81, MATCH(1,($A$2:$A$81=O43)*($B$2:$B$81=Q43)*($C$2:$C$81=P43), 0))</f>
        <v>0</v>
      </c>
      <c r="AD43">
        <f t="shared" si="1"/>
        <v>47658.95532121804</v>
      </c>
      <c r="AE43">
        <f t="shared" si="2"/>
        <v>0</v>
      </c>
      <c r="AF43">
        <f t="shared" si="4"/>
        <v>0</v>
      </c>
      <c r="AG43">
        <f t="shared" si="5"/>
        <v>0</v>
      </c>
      <c r="AH43">
        <f t="shared" si="6"/>
        <v>2878.4838</v>
      </c>
    </row>
    <row r="44" spans="1:34" x14ac:dyDescent="0.2">
      <c r="A44" s="3">
        <v>3</v>
      </c>
      <c r="B44" s="3">
        <v>1</v>
      </c>
      <c r="C44" s="3">
        <v>0</v>
      </c>
      <c r="D44" s="7">
        <v>25.5354781779014</v>
      </c>
      <c r="E44" s="7">
        <v>0</v>
      </c>
      <c r="F44" s="7">
        <v>3791.2350000000001</v>
      </c>
      <c r="G44" s="7">
        <v>0</v>
      </c>
      <c r="H44" s="7">
        <v>10855.074999999801</v>
      </c>
      <c r="I44" s="7">
        <v>7063.8399999998401</v>
      </c>
      <c r="J44">
        <f t="shared" si="0"/>
        <v>0</v>
      </c>
      <c r="O44" s="3">
        <v>3</v>
      </c>
      <c r="P44" s="3">
        <v>1</v>
      </c>
      <c r="Q44" s="3">
        <v>3</v>
      </c>
      <c r="R44">
        <v>1625</v>
      </c>
      <c r="S44" cm="1">
        <f t="array" ref="S44">INDEX(($E$2:$E$81 + $H$2:$H$81), MATCH(1,($A$2:$A$81=O44)*($B$2:$B$81=Q44)*($C$2:$C$81=P44), 0))</f>
        <v>718.21</v>
      </c>
      <c r="T44" cm="1">
        <f t="array" ref="T44">INDEX($D$2:$D$81, MATCH(1,($A$2:$A$81=O44)*($B$2:$B$81=Q44)*($C$2:$C$81=P44), 0))</f>
        <v>76.624041562876798</v>
      </c>
      <c r="U44" cm="1">
        <f t="array" ref="U44">INDEX(($E$2:$E$81)*($J$2:$J$81), MATCH(1,($A$2:$A$81=O44)*($B$2:$B$81=Q44)*($C$2:$C$81=P44), 0))</f>
        <v>0</v>
      </c>
      <c r="V44">
        <f t="shared" si="3"/>
        <v>906.79</v>
      </c>
      <c r="W44">
        <v>52.792000000000002</v>
      </c>
      <c r="X44" s="3">
        <v>320</v>
      </c>
      <c r="Y44" cm="1">
        <f t="array" ref="Y44">INDEX($J$2:$J$81, MATCH(1,($A$2:$A$81=O44)*($B$2:$B$81=Q44)*($C$2:$C$81=P44), 0))</f>
        <v>0</v>
      </c>
      <c r="AD44">
        <f t="shared" si="1"/>
        <v>124514.0675396748</v>
      </c>
      <c r="AE44">
        <f t="shared" si="2"/>
        <v>0</v>
      </c>
      <c r="AF44">
        <f t="shared" si="4"/>
        <v>0</v>
      </c>
      <c r="AG44">
        <f t="shared" si="5"/>
        <v>6948.1914648801048</v>
      </c>
      <c r="AH44">
        <f t="shared" si="6"/>
        <v>0</v>
      </c>
    </row>
    <row r="45" spans="1:34" x14ac:dyDescent="0.2">
      <c r="A45" s="3">
        <v>3</v>
      </c>
      <c r="B45" s="3">
        <v>1</v>
      </c>
      <c r="C45" s="3">
        <v>1</v>
      </c>
      <c r="D45" s="7">
        <v>24.837122994776799</v>
      </c>
      <c r="E45" s="7">
        <v>0</v>
      </c>
      <c r="F45" s="7">
        <v>5702.28</v>
      </c>
      <c r="G45" s="7">
        <v>0</v>
      </c>
      <c r="H45" s="7">
        <v>14593.514999999999</v>
      </c>
      <c r="I45" s="7">
        <v>8891.2349999999897</v>
      </c>
      <c r="J45">
        <f t="shared" si="0"/>
        <v>0</v>
      </c>
      <c r="O45" s="3">
        <v>4</v>
      </c>
      <c r="P45" s="3">
        <v>1</v>
      </c>
      <c r="Q45" s="3">
        <v>3</v>
      </c>
      <c r="R45">
        <v>1180</v>
      </c>
      <c r="S45" cm="1">
        <f t="array" ref="S45">INDEX(($E$2:$E$81 + $H$2:$H$81), MATCH(1,($A$2:$A$81=O45)*($B$2:$B$81=Q45)*($C$2:$C$81=P45), 0))</f>
        <v>2089.5599999999799</v>
      </c>
      <c r="T45" cm="1">
        <f t="array" ref="T45">INDEX($D$2:$D$81, MATCH(1,($A$2:$A$81=O45)*($B$2:$B$81=Q45)*($C$2:$C$81=P45), 0))</f>
        <v>72.734593566762598</v>
      </c>
      <c r="U45" cm="1">
        <f t="array" ref="U45">INDEX(($E$2:$E$81)*($J$2:$J$81), MATCH(1,($A$2:$A$81=O45)*($B$2:$B$81=Q45)*($C$2:$C$81=P45), 0))</f>
        <v>1814.3049999999801</v>
      </c>
      <c r="V45">
        <f t="shared" si="3"/>
        <v>0</v>
      </c>
      <c r="W45">
        <v>52.792000000000002</v>
      </c>
      <c r="X45" s="3">
        <v>320</v>
      </c>
      <c r="Y45" cm="1">
        <f t="array" ref="Y45">INDEX($J$2:$J$81, MATCH(1,($A$2:$A$81=O45)*($B$2:$B$81=Q45)*($C$2:$C$81=P45), 0))</f>
        <v>1</v>
      </c>
      <c r="AD45">
        <f t="shared" si="1"/>
        <v>85826.820408779866</v>
      </c>
      <c r="AE45">
        <f t="shared" si="2"/>
        <v>95780.789559998957</v>
      </c>
      <c r="AF45">
        <f t="shared" si="4"/>
        <v>320</v>
      </c>
      <c r="AG45">
        <f t="shared" si="5"/>
        <v>0</v>
      </c>
      <c r="AH45">
        <f t="shared" si="6"/>
        <v>4801.7491519998948</v>
      </c>
    </row>
    <row r="46" spans="1:34" x14ac:dyDescent="0.2">
      <c r="A46" s="3">
        <v>3</v>
      </c>
      <c r="B46" s="3">
        <v>2</v>
      </c>
      <c r="C46" s="3">
        <v>0</v>
      </c>
      <c r="D46" s="7">
        <v>40.455000571821202</v>
      </c>
      <c r="E46" s="7">
        <v>7447.64</v>
      </c>
      <c r="F46" s="7">
        <v>2614.92</v>
      </c>
      <c r="G46" s="7">
        <v>0</v>
      </c>
      <c r="H46" s="7">
        <v>842.7</v>
      </c>
      <c r="I46" s="7">
        <v>5675.42</v>
      </c>
      <c r="J46">
        <f t="shared" si="0"/>
        <v>1</v>
      </c>
      <c r="O46" s="3">
        <v>1</v>
      </c>
      <c r="P46" s="3">
        <v>0</v>
      </c>
      <c r="Q46" s="5">
        <v>4</v>
      </c>
      <c r="R46">
        <v>9284</v>
      </c>
      <c r="S46" cm="1">
        <f t="array" ref="S46">INDEX(($E$2:$E$81 + $H$2:$H$81), MATCH(1,($A$2:$A$81=O46)*($B$2:$B$81=Q46)*($C$2:$C$81=P46), 0))</f>
        <v>12503</v>
      </c>
      <c r="T46" cm="1">
        <f t="array" ref="T46">INDEX($D$2:$D$81, MATCH(1,($A$2:$A$81=O46)*($B$2:$B$81=Q46)*($C$2:$C$81=P46), 0))</f>
        <v>34.811062619971601</v>
      </c>
      <c r="U46" cm="1">
        <f t="array" ref="U46">INDEX(($E$2:$E$81)*($J$2:$J$81), MATCH(1,($A$2:$A$81=O46)*($B$2:$B$81=Q46)*($C$2:$C$81=P46), 0))</f>
        <v>0</v>
      </c>
      <c r="V46">
        <f t="shared" si="3"/>
        <v>0</v>
      </c>
      <c r="W46">
        <v>25.591999999999999</v>
      </c>
      <c r="X46" s="3">
        <v>530</v>
      </c>
      <c r="Y46" cm="1">
        <f t="array" ref="Y46">INDEX($J$2:$J$81, MATCH(1,($A$2:$A$81=O46)*($B$2:$B$81=Q46)*($C$2:$C$81=P46), 0))</f>
        <v>0</v>
      </c>
      <c r="AD46">
        <f t="shared" ref="AD46:AD77" si="7">R46*T46</f>
        <v>323185.90536381636</v>
      </c>
      <c r="AE46">
        <f t="shared" ref="AE46:AE77" si="8">W46*U46</f>
        <v>0</v>
      </c>
      <c r="AF46">
        <f t="shared" si="4"/>
        <v>0</v>
      </c>
      <c r="AG46">
        <f t="shared" si="5"/>
        <v>0</v>
      </c>
      <c r="AH46">
        <f t="shared" si="6"/>
        <v>8238.0648000000001</v>
      </c>
    </row>
    <row r="47" spans="1:34" x14ac:dyDescent="0.2">
      <c r="A47" s="3">
        <v>3</v>
      </c>
      <c r="B47" s="3">
        <v>2</v>
      </c>
      <c r="C47" s="3">
        <v>1</v>
      </c>
      <c r="D47" s="7">
        <v>36.063719695662797</v>
      </c>
      <c r="E47" s="7">
        <v>7442.3</v>
      </c>
      <c r="F47" s="7">
        <v>2542.3150000000001</v>
      </c>
      <c r="G47" s="7">
        <v>0</v>
      </c>
      <c r="H47" s="7">
        <v>1136.5350000000001</v>
      </c>
      <c r="I47" s="7">
        <v>6036.52</v>
      </c>
      <c r="J47">
        <f t="shared" si="0"/>
        <v>1</v>
      </c>
      <c r="O47" s="3">
        <v>2</v>
      </c>
      <c r="P47" s="3">
        <v>0</v>
      </c>
      <c r="Q47" s="5">
        <v>4</v>
      </c>
      <c r="R47">
        <v>4038</v>
      </c>
      <c r="S47" cm="1">
        <f t="array" ref="S47">INDEX(($E$2:$E$81 + $H$2:$H$81), MATCH(1,($A$2:$A$81=O47)*($B$2:$B$81=Q47)*($C$2:$C$81=P47), 0))</f>
        <v>21597.56</v>
      </c>
      <c r="T47" cm="1">
        <f t="array" ref="T47">INDEX($D$2:$D$81, MATCH(1,($A$2:$A$81=O47)*($B$2:$B$81=Q47)*($C$2:$C$81=P47), 0))</f>
        <v>29.447103932738099</v>
      </c>
      <c r="U47" cm="1">
        <f t="array" ref="U47">INDEX(($E$2:$E$81)*($J$2:$J$81), MATCH(1,($A$2:$A$81=O47)*($B$2:$B$81=Q47)*($C$2:$C$81=P47), 0))</f>
        <v>13441.1</v>
      </c>
      <c r="V47">
        <f t="shared" si="3"/>
        <v>0</v>
      </c>
      <c r="W47">
        <v>25.591999999999999</v>
      </c>
      <c r="X47" s="3">
        <v>530</v>
      </c>
      <c r="Y47" cm="1">
        <f t="array" ref="Y47">INDEX($J$2:$J$81, MATCH(1,($A$2:$A$81=O47)*($B$2:$B$81=Q47)*($C$2:$C$81=P47), 0))</f>
        <v>1</v>
      </c>
      <c r="AD47">
        <f t="shared" si="7"/>
        <v>118907.40568039645</v>
      </c>
      <c r="AE47">
        <f t="shared" si="8"/>
        <v>343984.6312</v>
      </c>
      <c r="AF47">
        <f t="shared" si="4"/>
        <v>530</v>
      </c>
      <c r="AG47">
        <f t="shared" si="5"/>
        <v>0</v>
      </c>
      <c r="AH47">
        <f t="shared" si="6"/>
        <v>44938.425952000005</v>
      </c>
    </row>
    <row r="48" spans="1:34" x14ac:dyDescent="0.2">
      <c r="A48" s="3">
        <v>3</v>
      </c>
      <c r="B48" s="3">
        <v>3</v>
      </c>
      <c r="C48" s="3">
        <v>0</v>
      </c>
      <c r="D48" s="7">
        <v>66.708485990866095</v>
      </c>
      <c r="E48" s="7">
        <v>0</v>
      </c>
      <c r="F48" s="7">
        <v>978.29499999999996</v>
      </c>
      <c r="G48" s="7">
        <v>0</v>
      </c>
      <c r="H48" s="7">
        <v>2431.605</v>
      </c>
      <c r="I48" s="7">
        <v>1453.31</v>
      </c>
      <c r="J48">
        <f t="shared" si="0"/>
        <v>0</v>
      </c>
      <c r="O48" s="3">
        <v>3</v>
      </c>
      <c r="P48" s="3">
        <v>0</v>
      </c>
      <c r="Q48" s="5">
        <v>4</v>
      </c>
      <c r="R48">
        <v>7446</v>
      </c>
      <c r="S48" cm="1">
        <f t="array" ref="S48">INDEX(($E$2:$E$81 + $H$2:$H$81), MATCH(1,($A$2:$A$81=O48)*($B$2:$B$81=Q48)*($C$2:$C$81=P48), 0))</f>
        <v>16720.939999999999</v>
      </c>
      <c r="T48" cm="1">
        <f t="array" ref="T48">INDEX($D$2:$D$81, MATCH(1,($A$2:$A$81=O48)*($B$2:$B$81=Q48)*($C$2:$C$81=P48), 0))</f>
        <v>33.250553694005397</v>
      </c>
      <c r="U48" cm="1">
        <f t="array" ref="U48">INDEX(($E$2:$E$81)*($J$2:$J$81), MATCH(1,($A$2:$A$81=O48)*($B$2:$B$81=Q48)*($C$2:$C$81=P48), 0))</f>
        <v>0</v>
      </c>
      <c r="V48">
        <f t="shared" si="3"/>
        <v>0</v>
      </c>
      <c r="W48">
        <v>25.591999999999999</v>
      </c>
      <c r="X48" s="3">
        <v>530</v>
      </c>
      <c r="Y48" cm="1">
        <f t="array" ref="Y48">INDEX($J$2:$J$81, MATCH(1,($A$2:$A$81=O48)*($B$2:$B$81=Q48)*($C$2:$C$81=P48), 0))</f>
        <v>0</v>
      </c>
      <c r="AD48">
        <f t="shared" si="7"/>
        <v>247583.6228055642</v>
      </c>
      <c r="AE48">
        <f t="shared" si="8"/>
        <v>0</v>
      </c>
      <c r="AF48">
        <f t="shared" si="4"/>
        <v>0</v>
      </c>
      <c r="AG48">
        <f t="shared" si="5"/>
        <v>0</v>
      </c>
      <c r="AH48">
        <f t="shared" si="6"/>
        <v>23736.426447999998</v>
      </c>
    </row>
    <row r="49" spans="1:34" x14ac:dyDescent="0.2">
      <c r="A49" s="3">
        <v>3</v>
      </c>
      <c r="B49" s="3">
        <v>3</v>
      </c>
      <c r="C49" s="3">
        <v>1</v>
      </c>
      <c r="D49" s="7">
        <v>76.624041562876798</v>
      </c>
      <c r="E49" s="7">
        <v>0</v>
      </c>
      <c r="F49" s="7">
        <v>442.95499999999998</v>
      </c>
      <c r="G49" s="7">
        <v>0</v>
      </c>
      <c r="H49" s="7">
        <v>718.21</v>
      </c>
      <c r="I49" s="7">
        <v>275.255</v>
      </c>
      <c r="J49">
        <f t="shared" si="0"/>
        <v>0</v>
      </c>
      <c r="O49" s="3">
        <v>4</v>
      </c>
      <c r="P49" s="3">
        <v>0</v>
      </c>
      <c r="Q49" s="5">
        <v>4</v>
      </c>
      <c r="R49">
        <v>15436</v>
      </c>
      <c r="S49" cm="1">
        <f t="array" ref="S49">INDEX(($E$2:$E$81 + $H$2:$H$81), MATCH(1,($A$2:$A$81=O49)*($B$2:$B$81=Q49)*($C$2:$C$81=P49), 0))</f>
        <v>8825.4500000000007</v>
      </c>
      <c r="T49" cm="1">
        <f t="array" ref="T49">INDEX($D$2:$D$81, MATCH(1,($A$2:$A$81=O49)*($B$2:$B$81=Q49)*($C$2:$C$81=P49), 0))</f>
        <v>34.646467496307103</v>
      </c>
      <c r="U49" cm="1">
        <f t="array" ref="U49">INDEX(($E$2:$E$81)*($J$2:$J$81), MATCH(1,($A$2:$A$81=O49)*($B$2:$B$81=Q49)*($C$2:$C$81=P49), 0))</f>
        <v>0</v>
      </c>
      <c r="V49">
        <f t="shared" si="3"/>
        <v>6610.5499999999993</v>
      </c>
      <c r="W49">
        <v>25.591999999999999</v>
      </c>
      <c r="X49" s="3">
        <v>530</v>
      </c>
      <c r="Y49" cm="1">
        <f t="array" ref="Y49">INDEX($J$2:$J$81, MATCH(1,($A$2:$A$81=O49)*($B$2:$B$81=Q49)*($C$2:$C$81=P49), 0))</f>
        <v>0</v>
      </c>
      <c r="AD49">
        <f t="shared" si="7"/>
        <v>534802.87227299646</v>
      </c>
      <c r="AE49">
        <f t="shared" si="8"/>
        <v>0</v>
      </c>
      <c r="AF49">
        <f t="shared" si="4"/>
        <v>0</v>
      </c>
      <c r="AG49">
        <f t="shared" si="5"/>
        <v>22903.220570771289</v>
      </c>
      <c r="AH49">
        <f t="shared" si="6"/>
        <v>0</v>
      </c>
    </row>
    <row r="50" spans="1:34" x14ac:dyDescent="0.2">
      <c r="A50" s="3">
        <v>3</v>
      </c>
      <c r="B50" s="3">
        <v>4</v>
      </c>
      <c r="C50" s="3">
        <v>0</v>
      </c>
      <c r="D50" s="7">
        <v>33.250553694005397</v>
      </c>
      <c r="E50" s="7">
        <v>0</v>
      </c>
      <c r="F50" s="7">
        <v>7895.49</v>
      </c>
      <c r="G50" s="7">
        <v>0</v>
      </c>
      <c r="H50" s="7">
        <v>16720.939999999999</v>
      </c>
      <c r="I50" s="7">
        <v>8825.4500000000007</v>
      </c>
      <c r="J50">
        <f t="shared" si="0"/>
        <v>0</v>
      </c>
      <c r="O50" s="3">
        <v>1</v>
      </c>
      <c r="P50" s="3">
        <v>1</v>
      </c>
      <c r="Q50" s="5">
        <v>4</v>
      </c>
      <c r="R50">
        <v>3784</v>
      </c>
      <c r="S50" cm="1">
        <f t="array" ref="S50">INDEX(($E$2:$E$81 + $H$2:$H$81), MATCH(1,($A$2:$A$81=O50)*($B$2:$B$81=Q50)*($C$2:$C$81=P50), 0))</f>
        <v>9719</v>
      </c>
      <c r="T50" cm="1">
        <f t="array" ref="T50">INDEX($D$2:$D$81, MATCH(1,($A$2:$A$81=O50)*($B$2:$B$81=Q50)*($C$2:$C$81=P50), 0))</f>
        <v>31.942683142693699</v>
      </c>
      <c r="U50" cm="1">
        <f t="array" ref="U50">INDEX(($E$2:$E$81)*($J$2:$J$81), MATCH(1,($A$2:$A$81=O50)*($B$2:$B$81=Q50)*($C$2:$C$81=P50), 0))</f>
        <v>0</v>
      </c>
      <c r="V50">
        <f t="shared" si="3"/>
        <v>0</v>
      </c>
      <c r="W50">
        <v>25.591999999999999</v>
      </c>
      <c r="X50" s="3">
        <v>530</v>
      </c>
      <c r="Y50" cm="1">
        <f t="array" ref="Y50">INDEX($J$2:$J$81, MATCH(1,($A$2:$A$81=O50)*($B$2:$B$81=Q50)*($C$2:$C$81=P50), 0))</f>
        <v>0</v>
      </c>
      <c r="AD50">
        <f t="shared" si="7"/>
        <v>120871.11301195296</v>
      </c>
      <c r="AE50">
        <f t="shared" si="8"/>
        <v>0</v>
      </c>
      <c r="AF50">
        <f t="shared" si="4"/>
        <v>0</v>
      </c>
      <c r="AG50">
        <f t="shared" si="5"/>
        <v>0</v>
      </c>
      <c r="AH50">
        <f t="shared" si="6"/>
        <v>15188.852000000001</v>
      </c>
    </row>
    <row r="51" spans="1:34" x14ac:dyDescent="0.2">
      <c r="A51" s="3">
        <v>3</v>
      </c>
      <c r="B51" s="3">
        <v>4</v>
      </c>
      <c r="C51" s="3">
        <v>1</v>
      </c>
      <c r="D51" s="7">
        <v>32.402138762513502</v>
      </c>
      <c r="E51" s="7">
        <v>0</v>
      </c>
      <c r="F51" s="7">
        <v>5032.4849999999997</v>
      </c>
      <c r="G51" s="7">
        <v>0</v>
      </c>
      <c r="H51" s="7">
        <v>12991.18</v>
      </c>
      <c r="I51" s="7">
        <v>7958.6949999999997</v>
      </c>
      <c r="J51">
        <f t="shared" si="0"/>
        <v>0</v>
      </c>
      <c r="O51" s="3">
        <v>2</v>
      </c>
      <c r="P51" s="3">
        <v>1</v>
      </c>
      <c r="Q51" s="5">
        <v>4</v>
      </c>
      <c r="R51">
        <v>3804</v>
      </c>
      <c r="S51" cm="1">
        <f t="array" ref="S51">INDEX(($E$2:$E$81 + $H$2:$H$81), MATCH(1,($A$2:$A$81=O51)*($B$2:$B$81=Q51)*($C$2:$C$81=P51), 0))</f>
        <v>19116.264999999999</v>
      </c>
      <c r="T51" cm="1">
        <f t="array" ref="T51">INDEX($D$2:$D$81, MATCH(1,($A$2:$A$81=O51)*($B$2:$B$81=Q51)*($C$2:$C$81=P51), 0))</f>
        <v>31.288308496382101</v>
      </c>
      <c r="U51" cm="1">
        <f t="array" ref="U51">INDEX(($E$2:$E$81)*($J$2:$J$81), MATCH(1,($A$2:$A$81=O51)*($B$2:$B$81=Q51)*($C$2:$C$81=P51), 0))</f>
        <v>13480.375</v>
      </c>
      <c r="V51">
        <f t="shared" si="3"/>
        <v>0</v>
      </c>
      <c r="W51">
        <v>25.591999999999999</v>
      </c>
      <c r="X51" s="3">
        <v>530</v>
      </c>
      <c r="Y51" cm="1">
        <f t="array" ref="Y51">INDEX($J$2:$J$81, MATCH(1,($A$2:$A$81=O51)*($B$2:$B$81=Q51)*($C$2:$C$81=P51), 0))</f>
        <v>1</v>
      </c>
      <c r="AD51">
        <f t="shared" si="7"/>
        <v>119020.72552023751</v>
      </c>
      <c r="AE51">
        <f t="shared" si="8"/>
        <v>344989.75699999998</v>
      </c>
      <c r="AF51">
        <f t="shared" si="4"/>
        <v>530</v>
      </c>
      <c r="AG51">
        <f t="shared" si="5"/>
        <v>0</v>
      </c>
      <c r="AH51">
        <f t="shared" si="6"/>
        <v>39187.148588000004</v>
      </c>
    </row>
    <row r="52" spans="1:34" x14ac:dyDescent="0.2">
      <c r="A52" s="3">
        <v>3</v>
      </c>
      <c r="B52" s="3">
        <v>5</v>
      </c>
      <c r="C52" s="3">
        <v>0</v>
      </c>
      <c r="D52" s="7">
        <v>55.221630752469103</v>
      </c>
      <c r="E52" s="7">
        <v>4346.625</v>
      </c>
      <c r="F52" s="7">
        <v>1650.0650000000001</v>
      </c>
      <c r="G52" s="7">
        <v>0</v>
      </c>
      <c r="H52" s="7">
        <v>1139.335</v>
      </c>
      <c r="I52" s="7">
        <v>3835.895</v>
      </c>
      <c r="J52">
        <f t="shared" si="0"/>
        <v>1</v>
      </c>
      <c r="O52" s="3">
        <v>3</v>
      </c>
      <c r="P52" s="3">
        <v>1</v>
      </c>
      <c r="Q52" s="5">
        <v>4</v>
      </c>
      <c r="R52">
        <v>5537</v>
      </c>
      <c r="S52" cm="1">
        <f t="array" ref="S52">INDEX(($E$2:$E$81 + $H$2:$H$81), MATCH(1,($A$2:$A$81=O52)*($B$2:$B$81=Q52)*($C$2:$C$81=P52), 0))</f>
        <v>12991.18</v>
      </c>
      <c r="T52" cm="1">
        <f t="array" ref="T52">INDEX($D$2:$D$81, MATCH(1,($A$2:$A$81=O52)*($B$2:$B$81=Q52)*($C$2:$C$81=P52), 0))</f>
        <v>32.402138762513502</v>
      </c>
      <c r="U52" cm="1">
        <f t="array" ref="U52">INDEX(($E$2:$E$81)*($J$2:$J$81), MATCH(1,($A$2:$A$81=O52)*($B$2:$B$81=Q52)*($C$2:$C$81=P52), 0))</f>
        <v>0</v>
      </c>
      <c r="V52">
        <f t="shared" si="3"/>
        <v>0</v>
      </c>
      <c r="W52">
        <v>25.591999999999999</v>
      </c>
      <c r="X52" s="3">
        <v>530</v>
      </c>
      <c r="Y52" cm="1">
        <f t="array" ref="Y52">INDEX($J$2:$J$81, MATCH(1,($A$2:$A$81=O52)*($B$2:$B$81=Q52)*($C$2:$C$81=P52), 0))</f>
        <v>0</v>
      </c>
      <c r="AD52">
        <f t="shared" si="7"/>
        <v>179410.64232803727</v>
      </c>
      <c r="AE52">
        <f t="shared" si="8"/>
        <v>0</v>
      </c>
      <c r="AF52">
        <f t="shared" si="4"/>
        <v>0</v>
      </c>
      <c r="AG52">
        <f t="shared" si="5"/>
        <v>0</v>
      </c>
      <c r="AH52">
        <f t="shared" si="6"/>
        <v>19076.737456000003</v>
      </c>
    </row>
    <row r="53" spans="1:34" x14ac:dyDescent="0.2">
      <c r="A53" s="3">
        <v>3</v>
      </c>
      <c r="B53" s="3">
        <v>5</v>
      </c>
      <c r="C53" s="3">
        <v>1</v>
      </c>
      <c r="D53" s="7">
        <v>57.533314517415199</v>
      </c>
      <c r="E53" s="7">
        <v>3303.9249999999802</v>
      </c>
      <c r="F53" s="7">
        <v>1321.2349999999999</v>
      </c>
      <c r="G53" s="7">
        <v>0</v>
      </c>
      <c r="H53" s="7">
        <v>1131.71</v>
      </c>
      <c r="I53" s="7">
        <v>3114.4</v>
      </c>
      <c r="J53">
        <f t="shared" si="0"/>
        <v>1</v>
      </c>
      <c r="O53" s="3">
        <v>4</v>
      </c>
      <c r="P53" s="3">
        <v>1</v>
      </c>
      <c r="Q53" s="5">
        <v>4</v>
      </c>
      <c r="R53">
        <v>6780</v>
      </c>
      <c r="S53" cm="1">
        <f t="array" ref="S53">INDEX(($E$2:$E$81 + $H$2:$H$81), MATCH(1,($A$2:$A$81=O53)*($B$2:$B$81=Q53)*($C$2:$C$81=P53), 0))</f>
        <v>7958.6949999999997</v>
      </c>
      <c r="T53" cm="1">
        <f t="array" ref="T53">INDEX($D$2:$D$81, MATCH(1,($A$2:$A$81=O53)*($B$2:$B$81=Q53)*($C$2:$C$81=P53), 0))</f>
        <v>29.0610483735882</v>
      </c>
      <c r="U53" cm="1">
        <f t="array" ref="U53">INDEX(($E$2:$E$81)*($J$2:$J$81), MATCH(1,($A$2:$A$81=O53)*($B$2:$B$81=Q53)*($C$2:$C$81=P53), 0))</f>
        <v>0</v>
      </c>
      <c r="V53">
        <f t="shared" si="3"/>
        <v>0</v>
      </c>
      <c r="W53">
        <v>25.591999999999999</v>
      </c>
      <c r="X53" s="3">
        <v>530</v>
      </c>
      <c r="Y53" cm="1">
        <f t="array" ref="Y53">INDEX($J$2:$J$81, MATCH(1,($A$2:$A$81=O53)*($B$2:$B$81=Q53)*($C$2:$C$81=P53), 0))</f>
        <v>0</v>
      </c>
      <c r="AD53">
        <f t="shared" si="7"/>
        <v>197033.90797292799</v>
      </c>
      <c r="AE53">
        <f t="shared" si="8"/>
        <v>0</v>
      </c>
      <c r="AF53">
        <f t="shared" si="4"/>
        <v>0</v>
      </c>
      <c r="AG53">
        <f t="shared" si="5"/>
        <v>0</v>
      </c>
      <c r="AH53">
        <f t="shared" si="6"/>
        <v>3016.5162439999995</v>
      </c>
    </row>
    <row r="54" spans="1:34" x14ac:dyDescent="0.2">
      <c r="A54" s="3">
        <v>3</v>
      </c>
      <c r="B54" s="3">
        <v>6</v>
      </c>
      <c r="C54" s="3">
        <v>0</v>
      </c>
      <c r="D54" s="7">
        <v>98.350906287777306</v>
      </c>
      <c r="E54" s="7">
        <v>0</v>
      </c>
      <c r="F54" s="7">
        <v>1652.7049999999999</v>
      </c>
      <c r="G54" s="7">
        <v>0</v>
      </c>
      <c r="H54" s="7">
        <v>2930.27</v>
      </c>
      <c r="I54" s="7">
        <v>1277.5650000000001</v>
      </c>
      <c r="J54">
        <f t="shared" si="0"/>
        <v>0</v>
      </c>
      <c r="O54" s="3">
        <v>1</v>
      </c>
      <c r="P54" s="3">
        <v>0</v>
      </c>
      <c r="Q54" s="5">
        <v>5</v>
      </c>
      <c r="R54">
        <v>2897</v>
      </c>
      <c r="S54" cm="1">
        <f t="array" ref="S54">INDEX(($E$2:$E$81 + $H$2:$H$81), MATCH(1,($A$2:$A$81=O54)*($B$2:$B$81=Q54)*($C$2:$C$81=P54), 0))</f>
        <v>3345</v>
      </c>
      <c r="T54" cm="1">
        <f t="array" ref="T54">INDEX($D$2:$D$81, MATCH(1,($A$2:$A$81=O54)*($B$2:$B$81=Q54)*($C$2:$C$81=P54), 0))</f>
        <v>60.911191931503701</v>
      </c>
      <c r="U54" cm="1">
        <f t="array" ref="U54">INDEX(($E$2:$E$81)*($J$2:$J$81), MATCH(1,($A$2:$A$81=O54)*($B$2:$B$81=Q54)*($C$2:$C$81=P54), 0))</f>
        <v>0</v>
      </c>
      <c r="V54">
        <f t="shared" si="3"/>
        <v>0</v>
      </c>
      <c r="W54">
        <v>44.800000000000004</v>
      </c>
      <c r="X54" s="3">
        <v>530</v>
      </c>
      <c r="Y54" cm="1">
        <f t="array" ref="Y54">INDEX($J$2:$J$81, MATCH(1,($A$2:$A$81=O54)*($B$2:$B$81=Q54)*($C$2:$C$81=P54), 0))</f>
        <v>0</v>
      </c>
      <c r="AD54">
        <f t="shared" si="7"/>
        <v>176459.72302556623</v>
      </c>
      <c r="AE54">
        <f t="shared" si="8"/>
        <v>0</v>
      </c>
      <c r="AF54">
        <f t="shared" si="4"/>
        <v>0</v>
      </c>
      <c r="AG54">
        <f t="shared" si="5"/>
        <v>0</v>
      </c>
      <c r="AH54">
        <f t="shared" si="6"/>
        <v>2007.0400000000002</v>
      </c>
    </row>
    <row r="55" spans="1:34" x14ac:dyDescent="0.2">
      <c r="A55" s="3">
        <v>3</v>
      </c>
      <c r="B55" s="3">
        <v>6</v>
      </c>
      <c r="C55" s="3">
        <v>1</v>
      </c>
      <c r="D55" s="7">
        <v>90.981649191714595</v>
      </c>
      <c r="E55" s="7">
        <v>0</v>
      </c>
      <c r="F55" s="7">
        <v>2439.4749999999999</v>
      </c>
      <c r="G55" s="7">
        <v>0</v>
      </c>
      <c r="H55" s="7">
        <v>3704.2649999999999</v>
      </c>
      <c r="I55" s="7">
        <v>1264.79</v>
      </c>
      <c r="J55">
        <f t="shared" si="0"/>
        <v>0</v>
      </c>
      <c r="O55" s="3">
        <v>2</v>
      </c>
      <c r="P55" s="3">
        <v>0</v>
      </c>
      <c r="Q55" s="5">
        <v>5</v>
      </c>
      <c r="R55">
        <v>2339</v>
      </c>
      <c r="S55" cm="1">
        <f t="array" ref="S55">INDEX(($E$2:$E$81 + $H$2:$H$81), MATCH(1,($A$2:$A$81=O55)*($B$2:$B$81=Q55)*($C$2:$C$81=P55), 0))</f>
        <v>2289.2399999999998</v>
      </c>
      <c r="T55" cm="1">
        <f t="array" ref="T55">INDEX($D$2:$D$81, MATCH(1,($A$2:$A$81=O55)*($B$2:$B$81=Q55)*($C$2:$C$81=P55), 0))</f>
        <v>56.803543349730298</v>
      </c>
      <c r="U55" cm="1">
        <f t="array" ref="U55">INDEX(($E$2:$E$81)*($J$2:$J$81), MATCH(1,($A$2:$A$81=O55)*($B$2:$B$81=Q55)*($C$2:$C$81=P55), 0))</f>
        <v>0</v>
      </c>
      <c r="V55">
        <f t="shared" si="3"/>
        <v>49.760000000000218</v>
      </c>
      <c r="W55">
        <v>44.800000000000004</v>
      </c>
      <c r="X55" s="3">
        <v>530</v>
      </c>
      <c r="Y55" cm="1">
        <f t="array" ref="Y55">INDEX($J$2:$J$81, MATCH(1,($A$2:$A$81=O55)*($B$2:$B$81=Q55)*($C$2:$C$81=P55), 0))</f>
        <v>0</v>
      </c>
      <c r="AD55">
        <f t="shared" si="7"/>
        <v>132863.48789501918</v>
      </c>
      <c r="AE55">
        <f t="shared" si="8"/>
        <v>0</v>
      </c>
      <c r="AF55">
        <f t="shared" si="4"/>
        <v>0</v>
      </c>
      <c r="AG55">
        <f t="shared" si="5"/>
        <v>282.65443170825921</v>
      </c>
      <c r="AH55">
        <f t="shared" si="6"/>
        <v>0</v>
      </c>
    </row>
    <row r="56" spans="1:34" x14ac:dyDescent="0.2">
      <c r="A56" s="3">
        <v>3</v>
      </c>
      <c r="B56" s="3">
        <v>7</v>
      </c>
      <c r="C56" s="3">
        <v>0</v>
      </c>
      <c r="D56" s="7">
        <v>65.742925758941198</v>
      </c>
      <c r="E56" s="7">
        <v>5702.5</v>
      </c>
      <c r="F56" s="7">
        <v>1743.83</v>
      </c>
      <c r="G56" s="7">
        <v>0</v>
      </c>
      <c r="H56" s="7">
        <v>1520.9549999999999</v>
      </c>
      <c r="I56" s="7">
        <v>5479.625</v>
      </c>
      <c r="J56">
        <f t="shared" si="0"/>
        <v>1</v>
      </c>
      <c r="O56" s="3">
        <v>3</v>
      </c>
      <c r="P56" s="3">
        <v>0</v>
      </c>
      <c r="Q56" s="5">
        <v>5</v>
      </c>
      <c r="R56">
        <v>1818</v>
      </c>
      <c r="S56" cm="1">
        <f t="array" ref="S56">INDEX(($E$2:$E$81 + $H$2:$H$81), MATCH(1,($A$2:$A$81=O56)*($B$2:$B$81=Q56)*($C$2:$C$81=P56), 0))</f>
        <v>5485.96</v>
      </c>
      <c r="T56" cm="1">
        <f t="array" ref="T56">INDEX($D$2:$D$81, MATCH(1,($A$2:$A$81=O56)*($B$2:$B$81=Q56)*($C$2:$C$81=P56), 0))</f>
        <v>55.221630752469103</v>
      </c>
      <c r="U56" cm="1">
        <f t="array" ref="U56">INDEX(($E$2:$E$81)*($J$2:$J$81), MATCH(1,($A$2:$A$81=O56)*($B$2:$B$81=Q56)*($C$2:$C$81=P56), 0))</f>
        <v>4346.625</v>
      </c>
      <c r="V56">
        <f t="shared" si="3"/>
        <v>0</v>
      </c>
      <c r="W56">
        <v>44.800000000000004</v>
      </c>
      <c r="X56" s="3">
        <v>530</v>
      </c>
      <c r="Y56" cm="1">
        <f t="array" ref="Y56">INDEX($J$2:$J$81, MATCH(1,($A$2:$A$81=O56)*($B$2:$B$81=Q56)*($C$2:$C$81=P56), 0))</f>
        <v>1</v>
      </c>
      <c r="AD56">
        <f t="shared" si="7"/>
        <v>100392.92470798883</v>
      </c>
      <c r="AE56">
        <f t="shared" si="8"/>
        <v>194728.80000000002</v>
      </c>
      <c r="AF56">
        <f t="shared" si="4"/>
        <v>530</v>
      </c>
      <c r="AG56">
        <f t="shared" si="5"/>
        <v>0</v>
      </c>
      <c r="AH56">
        <f t="shared" si="6"/>
        <v>16432.460800000001</v>
      </c>
    </row>
    <row r="57" spans="1:34" x14ac:dyDescent="0.2">
      <c r="A57" s="3">
        <v>3</v>
      </c>
      <c r="B57" s="3">
        <v>7</v>
      </c>
      <c r="C57" s="3">
        <v>1</v>
      </c>
      <c r="D57" s="7">
        <v>66.371920453083803</v>
      </c>
      <c r="E57" s="7">
        <v>4033.73</v>
      </c>
      <c r="F57" s="7">
        <v>1596.135</v>
      </c>
      <c r="G57" s="7">
        <v>0</v>
      </c>
      <c r="H57" s="7">
        <v>2077.1550000000002</v>
      </c>
      <c r="I57" s="7">
        <v>4514.75</v>
      </c>
      <c r="J57">
        <f t="shared" si="0"/>
        <v>1</v>
      </c>
      <c r="O57" s="3">
        <v>4</v>
      </c>
      <c r="P57" s="3">
        <v>0</v>
      </c>
      <c r="Q57" s="5">
        <v>5</v>
      </c>
      <c r="R57">
        <v>3007</v>
      </c>
      <c r="S57" cm="1">
        <f t="array" ref="S57">INDEX(($E$2:$E$81 + $H$2:$H$81), MATCH(1,($A$2:$A$81=O57)*($B$2:$B$81=Q57)*($C$2:$C$81=P57), 0))</f>
        <v>3835.895</v>
      </c>
      <c r="T57" cm="1">
        <f t="array" ref="T57">INDEX($D$2:$D$81, MATCH(1,($A$2:$A$81=O57)*($B$2:$B$81=Q57)*($C$2:$C$81=P57), 0))</f>
        <v>58.8582783924832</v>
      </c>
      <c r="U57" cm="1">
        <f t="array" ref="U57">INDEX(($E$2:$E$81)*($J$2:$J$81), MATCH(1,($A$2:$A$81=O57)*($B$2:$B$81=Q57)*($C$2:$C$81=P57), 0))</f>
        <v>0</v>
      </c>
      <c r="V57">
        <f t="shared" si="3"/>
        <v>0</v>
      </c>
      <c r="W57">
        <v>44.800000000000004</v>
      </c>
      <c r="X57" s="3">
        <v>530</v>
      </c>
      <c r="Y57" cm="1">
        <f t="array" ref="Y57">INDEX($J$2:$J$81, MATCH(1,($A$2:$A$81=O57)*($B$2:$B$81=Q57)*($C$2:$C$81=P57), 0))</f>
        <v>0</v>
      </c>
      <c r="AD57">
        <f t="shared" si="7"/>
        <v>176986.843126197</v>
      </c>
      <c r="AE57">
        <f t="shared" si="8"/>
        <v>0</v>
      </c>
      <c r="AF57">
        <f t="shared" si="4"/>
        <v>0</v>
      </c>
      <c r="AG57">
        <f t="shared" si="5"/>
        <v>0</v>
      </c>
      <c r="AH57">
        <f t="shared" si="6"/>
        <v>3713.4496000000004</v>
      </c>
    </row>
    <row r="58" spans="1:34" x14ac:dyDescent="0.2">
      <c r="A58" s="3">
        <v>3</v>
      </c>
      <c r="B58" s="3">
        <v>8</v>
      </c>
      <c r="C58" s="3">
        <v>0</v>
      </c>
      <c r="D58" s="7">
        <v>42.989977616179303</v>
      </c>
      <c r="E58" s="7">
        <v>0</v>
      </c>
      <c r="F58" s="7">
        <v>3353.11</v>
      </c>
      <c r="G58" s="7">
        <v>0</v>
      </c>
      <c r="H58" s="7">
        <v>9114.02</v>
      </c>
      <c r="I58" s="7">
        <v>5760.91</v>
      </c>
      <c r="J58">
        <f t="shared" si="0"/>
        <v>0</v>
      </c>
      <c r="O58" s="3">
        <v>1</v>
      </c>
      <c r="P58" s="3">
        <v>1</v>
      </c>
      <c r="Q58" s="5">
        <v>5</v>
      </c>
      <c r="R58">
        <v>2285</v>
      </c>
      <c r="S58" cm="1">
        <f t="array" ref="S58">INDEX(($E$2:$E$81 + $H$2:$H$81), MATCH(1,($A$2:$A$81=O58)*($B$2:$B$81=Q58)*($C$2:$C$81=P58), 0))</f>
        <v>3205</v>
      </c>
      <c r="T58" cm="1">
        <f t="array" ref="T58">INDEX($D$2:$D$81, MATCH(1,($A$2:$A$81=O58)*($B$2:$B$81=Q58)*($C$2:$C$81=P58), 0))</f>
        <v>62.129988738783403</v>
      </c>
      <c r="U58" cm="1">
        <f t="array" ref="U58">INDEX(($E$2:$E$81)*($J$2:$J$81), MATCH(1,($A$2:$A$81=O58)*($B$2:$B$81=Q58)*($C$2:$C$81=P58), 0))</f>
        <v>0</v>
      </c>
      <c r="V58">
        <f t="shared" si="3"/>
        <v>0</v>
      </c>
      <c r="W58">
        <v>44.800000000000004</v>
      </c>
      <c r="X58" s="3">
        <v>530</v>
      </c>
      <c r="Y58" cm="1">
        <f t="array" ref="Y58">INDEX($J$2:$J$81, MATCH(1,($A$2:$A$81=O58)*($B$2:$B$81=Q58)*($C$2:$C$81=P58), 0))</f>
        <v>0</v>
      </c>
      <c r="AD58">
        <f t="shared" si="7"/>
        <v>141967.02426812009</v>
      </c>
      <c r="AE58">
        <f t="shared" si="8"/>
        <v>0</v>
      </c>
      <c r="AF58">
        <f t="shared" si="4"/>
        <v>0</v>
      </c>
      <c r="AG58">
        <f t="shared" si="5"/>
        <v>0</v>
      </c>
      <c r="AH58">
        <f t="shared" si="6"/>
        <v>4121.6000000000004</v>
      </c>
    </row>
    <row r="59" spans="1:34" x14ac:dyDescent="0.2">
      <c r="A59" s="3">
        <v>3</v>
      </c>
      <c r="B59" s="3">
        <v>8</v>
      </c>
      <c r="C59" s="3">
        <v>1</v>
      </c>
      <c r="D59" s="7">
        <v>42.911584006044599</v>
      </c>
      <c r="E59" s="7">
        <v>7916.54</v>
      </c>
      <c r="F59" s="7">
        <v>2669.1750000000002</v>
      </c>
      <c r="G59" s="7">
        <v>0</v>
      </c>
      <c r="H59" s="7">
        <v>1618.28</v>
      </c>
      <c r="I59" s="7">
        <v>6865.6450000000004</v>
      </c>
      <c r="J59">
        <f t="shared" si="0"/>
        <v>1</v>
      </c>
      <c r="O59" s="3">
        <v>2</v>
      </c>
      <c r="P59" s="3">
        <v>1</v>
      </c>
      <c r="Q59" s="5">
        <v>5</v>
      </c>
      <c r="R59">
        <v>1399</v>
      </c>
      <c r="S59" cm="1">
        <f t="array" ref="S59">INDEX(($E$2:$E$81 + $H$2:$H$81), MATCH(1,($A$2:$A$81=O59)*($B$2:$B$81=Q59)*($C$2:$C$81=P59), 0))</f>
        <v>2225.8150000000001</v>
      </c>
      <c r="T59" cm="1">
        <f t="array" ref="T59">INDEX($D$2:$D$81, MATCH(1,($A$2:$A$81=O59)*($B$2:$B$81=Q59)*($C$2:$C$81=P59), 0))</f>
        <v>67.2318494808396</v>
      </c>
      <c r="U59" cm="1">
        <f t="array" ref="U59">INDEX(($E$2:$E$81)*($J$2:$J$81), MATCH(1,($A$2:$A$81=O59)*($B$2:$B$81=Q59)*($C$2:$C$81=P59), 0))</f>
        <v>0</v>
      </c>
      <c r="V59">
        <f t="shared" si="3"/>
        <v>0</v>
      </c>
      <c r="W59">
        <v>44.800000000000004</v>
      </c>
      <c r="X59" s="3">
        <v>530</v>
      </c>
      <c r="Y59" cm="1">
        <f t="array" ref="Y59">INDEX($J$2:$J$81, MATCH(1,($A$2:$A$81=O59)*($B$2:$B$81=Q59)*($C$2:$C$81=P59), 0))</f>
        <v>0</v>
      </c>
      <c r="AD59">
        <f t="shared" si="7"/>
        <v>94057.357423694601</v>
      </c>
      <c r="AE59">
        <f t="shared" si="8"/>
        <v>0</v>
      </c>
      <c r="AF59">
        <f t="shared" si="4"/>
        <v>0</v>
      </c>
      <c r="AG59">
        <f t="shared" si="5"/>
        <v>0</v>
      </c>
      <c r="AH59">
        <f t="shared" si="6"/>
        <v>3704.1312000000007</v>
      </c>
    </row>
    <row r="60" spans="1:34" x14ac:dyDescent="0.2">
      <c r="A60" s="3">
        <v>3</v>
      </c>
      <c r="B60" s="3">
        <v>9</v>
      </c>
      <c r="C60" s="3">
        <v>0</v>
      </c>
      <c r="D60" s="7">
        <v>23.0928640456643</v>
      </c>
      <c r="E60" s="7">
        <v>0</v>
      </c>
      <c r="F60" s="7">
        <v>5871.38</v>
      </c>
      <c r="G60" s="7">
        <v>0</v>
      </c>
      <c r="H60" s="7">
        <v>14633.745000000001</v>
      </c>
      <c r="I60" s="7">
        <v>8762.3649999999998</v>
      </c>
      <c r="J60">
        <f t="shared" si="0"/>
        <v>0</v>
      </c>
      <c r="O60" s="3">
        <v>3</v>
      </c>
      <c r="P60" s="3">
        <v>1</v>
      </c>
      <c r="Q60" s="5">
        <v>5</v>
      </c>
      <c r="R60">
        <v>2183</v>
      </c>
      <c r="S60" cm="1">
        <f t="array" ref="S60">INDEX(($E$2:$E$81 + $H$2:$H$81), MATCH(1,($A$2:$A$81=O60)*($B$2:$B$81=Q60)*($C$2:$C$81=P60), 0))</f>
        <v>4435.6349999999802</v>
      </c>
      <c r="T60" cm="1">
        <f t="array" ref="T60">INDEX($D$2:$D$81, MATCH(1,($A$2:$A$81=O60)*($B$2:$B$81=Q60)*($C$2:$C$81=P60), 0))</f>
        <v>57.533314517415199</v>
      </c>
      <c r="U60" cm="1">
        <f t="array" ref="U60">INDEX(($E$2:$E$81)*($J$2:$J$81), MATCH(1,($A$2:$A$81=O60)*($B$2:$B$81=Q60)*($C$2:$C$81=P60), 0))</f>
        <v>3303.9249999999802</v>
      </c>
      <c r="V60">
        <f t="shared" si="3"/>
        <v>0</v>
      </c>
      <c r="W60">
        <v>44.800000000000004</v>
      </c>
      <c r="X60" s="3">
        <v>530</v>
      </c>
      <c r="Y60" cm="1">
        <f t="array" ref="Y60">INDEX($J$2:$J$81, MATCH(1,($A$2:$A$81=O60)*($B$2:$B$81=Q60)*($C$2:$C$81=P60), 0))</f>
        <v>1</v>
      </c>
      <c r="AD60">
        <f t="shared" si="7"/>
        <v>125595.22559151737</v>
      </c>
      <c r="AE60">
        <f t="shared" si="8"/>
        <v>148015.83999999912</v>
      </c>
      <c r="AF60">
        <f t="shared" si="4"/>
        <v>530</v>
      </c>
      <c r="AG60">
        <f t="shared" si="5"/>
        <v>0</v>
      </c>
      <c r="AH60">
        <f t="shared" si="6"/>
        <v>10091.804799999913</v>
      </c>
    </row>
    <row r="61" spans="1:34" x14ac:dyDescent="0.2">
      <c r="A61" s="3">
        <v>3</v>
      </c>
      <c r="B61" s="3">
        <v>9</v>
      </c>
      <c r="C61" s="3">
        <v>1</v>
      </c>
      <c r="D61" s="7">
        <v>22.333426688945</v>
      </c>
      <c r="E61" s="7">
        <v>0</v>
      </c>
      <c r="F61" s="7">
        <v>7529.0749999999998</v>
      </c>
      <c r="G61" s="7">
        <v>0</v>
      </c>
      <c r="H61" s="7">
        <v>22136.734999998302</v>
      </c>
      <c r="I61" s="7">
        <v>14607.659999998299</v>
      </c>
      <c r="J61">
        <f t="shared" si="0"/>
        <v>0</v>
      </c>
      <c r="O61" s="3">
        <v>4</v>
      </c>
      <c r="P61" s="3">
        <v>1</v>
      </c>
      <c r="Q61" s="5">
        <v>5</v>
      </c>
      <c r="R61">
        <v>2681</v>
      </c>
      <c r="S61" cm="1">
        <f t="array" ref="S61">INDEX(($E$2:$E$81 + $H$2:$H$81), MATCH(1,($A$2:$A$81=O61)*($B$2:$B$81=Q61)*($C$2:$C$81=P61), 0))</f>
        <v>3114.4</v>
      </c>
      <c r="T61" cm="1">
        <f t="array" ref="T61">INDEX($D$2:$D$81, MATCH(1,($A$2:$A$81=O61)*($B$2:$B$81=Q61)*($C$2:$C$81=P61), 0))</f>
        <v>57.140287418331098</v>
      </c>
      <c r="U61" cm="1">
        <f t="array" ref="U61">INDEX(($E$2:$E$81)*($J$2:$J$81), MATCH(1,($A$2:$A$81=O61)*($B$2:$B$81=Q61)*($C$2:$C$81=P61), 0))</f>
        <v>0</v>
      </c>
      <c r="V61">
        <f t="shared" si="3"/>
        <v>0</v>
      </c>
      <c r="W61">
        <v>44.8</v>
      </c>
      <c r="X61" s="3">
        <v>530</v>
      </c>
      <c r="Y61" cm="1">
        <f t="array" ref="Y61">INDEX($J$2:$J$81, MATCH(1,($A$2:$A$81=O61)*($B$2:$B$81=Q61)*($C$2:$C$81=P61), 0))</f>
        <v>0</v>
      </c>
      <c r="AD61">
        <f t="shared" si="7"/>
        <v>153193.11056854567</v>
      </c>
      <c r="AE61">
        <f t="shared" si="8"/>
        <v>0</v>
      </c>
      <c r="AF61">
        <f t="shared" si="4"/>
        <v>0</v>
      </c>
      <c r="AG61">
        <f t="shared" si="5"/>
        <v>0</v>
      </c>
      <c r="AH61">
        <f t="shared" si="6"/>
        <v>1941.6320000000003</v>
      </c>
    </row>
    <row r="62" spans="1:34" x14ac:dyDescent="0.2">
      <c r="A62" s="3">
        <v>4</v>
      </c>
      <c r="B62" s="3">
        <v>0</v>
      </c>
      <c r="C62" s="3">
        <v>0</v>
      </c>
      <c r="D62" s="7">
        <v>37.6380117349796</v>
      </c>
      <c r="E62" s="7">
        <v>0</v>
      </c>
      <c r="F62" s="7">
        <v>1939.75</v>
      </c>
      <c r="G62" s="7">
        <v>0</v>
      </c>
      <c r="H62" s="7">
        <v>4525.21</v>
      </c>
      <c r="I62" s="7">
        <v>2585.46</v>
      </c>
      <c r="J62">
        <f t="shared" si="0"/>
        <v>0</v>
      </c>
      <c r="O62" s="3">
        <v>1</v>
      </c>
      <c r="P62" s="3">
        <v>0</v>
      </c>
      <c r="Q62" s="5">
        <v>6</v>
      </c>
      <c r="R62">
        <v>4640</v>
      </c>
      <c r="S62" cm="1">
        <f t="array" ref="S62">INDEX(($E$2:$E$81 + $H$2:$H$81), MATCH(1,($A$2:$A$81=O62)*($B$2:$B$81=Q62)*($C$2:$C$81=P62), 0))</f>
        <v>6582</v>
      </c>
      <c r="T62" cm="1">
        <f t="array" ref="T62">INDEX($D$2:$D$81, MATCH(1,($A$2:$A$81=O62)*($B$2:$B$81=Q62)*($C$2:$C$81=P62), 0))</f>
        <v>83.785779046260899</v>
      </c>
      <c r="U62" cm="1">
        <f t="array" ref="U62">INDEX(($E$2:$E$81)*($J$2:$J$81), MATCH(1,($A$2:$A$81=O62)*($B$2:$B$81=Q62)*($C$2:$C$81=P62), 0))</f>
        <v>0</v>
      </c>
      <c r="V62">
        <f t="shared" si="3"/>
        <v>0</v>
      </c>
      <c r="W62">
        <v>62.993000000000002</v>
      </c>
      <c r="X62" s="3">
        <v>780</v>
      </c>
      <c r="Y62" cm="1">
        <f t="array" ref="Y62">INDEX($J$2:$J$81, MATCH(1,($A$2:$A$81=O62)*($B$2:$B$81=Q62)*($C$2:$C$81=P62), 0))</f>
        <v>0</v>
      </c>
      <c r="AD62">
        <f t="shared" si="7"/>
        <v>388766.01477465057</v>
      </c>
      <c r="AE62">
        <f t="shared" si="8"/>
        <v>0</v>
      </c>
      <c r="AF62">
        <f t="shared" si="4"/>
        <v>0</v>
      </c>
      <c r="AG62">
        <f t="shared" si="5"/>
        <v>0</v>
      </c>
      <c r="AH62">
        <f t="shared" si="6"/>
        <v>12233.240600000001</v>
      </c>
    </row>
    <row r="63" spans="1:34" x14ac:dyDescent="0.2">
      <c r="A63" s="3">
        <v>4</v>
      </c>
      <c r="B63" s="3">
        <v>0</v>
      </c>
      <c r="C63" s="3">
        <v>1</v>
      </c>
      <c r="D63" s="7">
        <v>35.606532481214401</v>
      </c>
      <c r="E63" s="7">
        <v>1645.79999999999</v>
      </c>
      <c r="F63" s="7">
        <v>2011.825</v>
      </c>
      <c r="G63" s="7">
        <v>0</v>
      </c>
      <c r="H63" s="7">
        <v>5138.4449999999997</v>
      </c>
      <c r="I63" s="7">
        <v>4772.42</v>
      </c>
      <c r="J63">
        <f t="shared" si="0"/>
        <v>1</v>
      </c>
      <c r="O63" s="3">
        <v>2</v>
      </c>
      <c r="P63" s="3">
        <v>0</v>
      </c>
      <c r="Q63" s="5">
        <v>6</v>
      </c>
      <c r="R63">
        <v>4964</v>
      </c>
      <c r="S63" cm="1">
        <f t="array" ref="S63">INDEX(($E$2:$E$81 + $H$2:$H$81), MATCH(1,($A$2:$A$81=O63)*($B$2:$B$81=Q63)*($C$2:$C$81=P63), 0))</f>
        <v>4750.9049999999997</v>
      </c>
      <c r="T63" cm="1">
        <f t="array" ref="T63">INDEX($D$2:$D$81, MATCH(1,($A$2:$A$81=O63)*($B$2:$B$81=Q63)*($C$2:$C$81=P63), 0))</f>
        <v>83.422480882829205</v>
      </c>
      <c r="U63" cm="1">
        <f t="array" ref="U63">INDEX(($E$2:$E$81)*($J$2:$J$81), MATCH(1,($A$2:$A$81=O63)*($B$2:$B$81=Q63)*($C$2:$C$81=P63), 0))</f>
        <v>0</v>
      </c>
      <c r="V63">
        <f t="shared" si="3"/>
        <v>213.09500000000025</v>
      </c>
      <c r="W63">
        <v>62.993000000000002</v>
      </c>
      <c r="X63" s="3">
        <v>780</v>
      </c>
      <c r="Y63" cm="1">
        <f t="array" ref="Y63">INDEX($J$2:$J$81, MATCH(1,($A$2:$A$81=O63)*($B$2:$B$81=Q63)*($C$2:$C$81=P63), 0))</f>
        <v>0</v>
      </c>
      <c r="AD63">
        <f t="shared" si="7"/>
        <v>414109.19510236417</v>
      </c>
      <c r="AE63">
        <f t="shared" si="8"/>
        <v>0</v>
      </c>
      <c r="AF63">
        <f t="shared" si="4"/>
        <v>0</v>
      </c>
      <c r="AG63">
        <f t="shared" si="5"/>
        <v>1777.6913563726512</v>
      </c>
      <c r="AH63">
        <f t="shared" si="6"/>
        <v>0</v>
      </c>
    </row>
    <row r="64" spans="1:34" x14ac:dyDescent="0.2">
      <c r="A64" s="3">
        <v>4</v>
      </c>
      <c r="B64" s="3">
        <v>1</v>
      </c>
      <c r="C64" s="3">
        <v>0</v>
      </c>
      <c r="D64" s="7">
        <v>28.2613461949732</v>
      </c>
      <c r="E64" s="7">
        <v>0</v>
      </c>
      <c r="F64" s="7">
        <v>3594.83</v>
      </c>
      <c r="G64" s="7">
        <v>0</v>
      </c>
      <c r="H64" s="7">
        <v>7063.8399999998401</v>
      </c>
      <c r="I64" s="7">
        <v>3469.0099999998301</v>
      </c>
      <c r="J64">
        <f t="shared" si="0"/>
        <v>0</v>
      </c>
      <c r="O64" s="3">
        <v>3</v>
      </c>
      <c r="P64" s="3">
        <v>0</v>
      </c>
      <c r="Q64" s="5">
        <v>6</v>
      </c>
      <c r="R64">
        <v>3384</v>
      </c>
      <c r="S64" cm="1">
        <f t="array" ref="S64">INDEX(($E$2:$E$81 + $H$2:$H$81), MATCH(1,($A$2:$A$81=O64)*($B$2:$B$81=Q64)*($C$2:$C$81=P64), 0))</f>
        <v>2930.27</v>
      </c>
      <c r="T64" cm="1">
        <f t="array" ref="T64">INDEX($D$2:$D$81, MATCH(1,($A$2:$A$81=O64)*($B$2:$B$81=Q64)*($C$2:$C$81=P64), 0))</f>
        <v>98.350906287777306</v>
      </c>
      <c r="U64" cm="1">
        <f t="array" ref="U64">INDEX(($E$2:$E$81)*($J$2:$J$81), MATCH(1,($A$2:$A$81=O64)*($B$2:$B$81=Q64)*($C$2:$C$81=P64), 0))</f>
        <v>0</v>
      </c>
      <c r="V64">
        <f t="shared" si="3"/>
        <v>453.73</v>
      </c>
      <c r="W64">
        <v>62.993000000000002</v>
      </c>
      <c r="X64" s="3">
        <v>780</v>
      </c>
      <c r="Y64" cm="1">
        <f t="array" ref="Y64">INDEX($J$2:$J$81, MATCH(1,($A$2:$A$81=O64)*($B$2:$B$81=Q64)*($C$2:$C$81=P64), 0))</f>
        <v>0</v>
      </c>
      <c r="AD64">
        <f t="shared" si="7"/>
        <v>332819.46687783842</v>
      </c>
      <c r="AE64">
        <f t="shared" si="8"/>
        <v>0</v>
      </c>
      <c r="AF64">
        <f t="shared" si="4"/>
        <v>0</v>
      </c>
      <c r="AG64">
        <f t="shared" si="5"/>
        <v>4462.4756709953208</v>
      </c>
      <c r="AH64">
        <f t="shared" si="6"/>
        <v>0</v>
      </c>
    </row>
    <row r="65" spans="1:34" x14ac:dyDescent="0.2">
      <c r="A65" s="3">
        <v>4</v>
      </c>
      <c r="B65" s="3">
        <v>1</v>
      </c>
      <c r="C65" s="3">
        <v>1</v>
      </c>
      <c r="D65" s="7">
        <v>22.938181992026301</v>
      </c>
      <c r="E65" s="7">
        <v>0</v>
      </c>
      <c r="F65" s="7">
        <v>4680.835</v>
      </c>
      <c r="G65" s="7">
        <v>0</v>
      </c>
      <c r="H65" s="7">
        <v>8891.2349999999897</v>
      </c>
      <c r="I65" s="7">
        <v>4210.3999999999996</v>
      </c>
      <c r="J65">
        <f t="shared" si="0"/>
        <v>0</v>
      </c>
      <c r="O65" s="3">
        <v>4</v>
      </c>
      <c r="P65" s="3">
        <v>0</v>
      </c>
      <c r="Q65" s="5">
        <v>6</v>
      </c>
      <c r="R65">
        <v>4048</v>
      </c>
      <c r="S65" cm="1">
        <f t="array" ref="S65">INDEX(($E$2:$E$81 + $H$2:$H$81), MATCH(1,($A$2:$A$81=O65)*($B$2:$B$81=Q65)*($C$2:$C$81=P65), 0))</f>
        <v>7940.99</v>
      </c>
      <c r="T65" cm="1">
        <f t="array" ref="T65">INDEX($D$2:$D$81, MATCH(1,($A$2:$A$81=O65)*($B$2:$B$81=Q65)*($C$2:$C$81=P65), 0))</f>
        <v>97.100451525436796</v>
      </c>
      <c r="U65" cm="1">
        <f t="array" ref="U65">INDEX(($E$2:$E$81)*($J$2:$J$81), MATCH(1,($A$2:$A$81=O65)*($B$2:$B$81=Q65)*($C$2:$C$81=P65), 0))</f>
        <v>6663.4250000000002</v>
      </c>
      <c r="V65">
        <f t="shared" si="3"/>
        <v>0</v>
      </c>
      <c r="W65">
        <v>62.993000000000002</v>
      </c>
      <c r="X65" s="3">
        <v>780</v>
      </c>
      <c r="Y65" cm="1">
        <f t="array" ref="Y65">INDEX($J$2:$J$81, MATCH(1,($A$2:$A$81=O65)*($B$2:$B$81=Q65)*($C$2:$C$81=P65), 0))</f>
        <v>1</v>
      </c>
      <c r="AD65">
        <f t="shared" si="7"/>
        <v>393062.62777496816</v>
      </c>
      <c r="AE65">
        <f t="shared" si="8"/>
        <v>419749.13102500001</v>
      </c>
      <c r="AF65">
        <f t="shared" si="4"/>
        <v>780</v>
      </c>
      <c r="AG65">
        <f t="shared" si="5"/>
        <v>0</v>
      </c>
      <c r="AH65">
        <f t="shared" si="6"/>
        <v>24523.111907000002</v>
      </c>
    </row>
    <row r="66" spans="1:34" x14ac:dyDescent="0.2">
      <c r="A66" s="3">
        <v>4</v>
      </c>
      <c r="B66" s="3">
        <v>2</v>
      </c>
      <c r="C66" s="3">
        <v>0</v>
      </c>
      <c r="D66" s="7">
        <v>41.046520299520502</v>
      </c>
      <c r="E66" s="7">
        <v>0</v>
      </c>
      <c r="F66" s="7">
        <v>1920.2349999999999</v>
      </c>
      <c r="G66" s="7">
        <v>0</v>
      </c>
      <c r="H66" s="7">
        <v>5675.42</v>
      </c>
      <c r="I66" s="7">
        <v>3755.1849999998299</v>
      </c>
      <c r="J66">
        <f t="shared" si="0"/>
        <v>0</v>
      </c>
      <c r="O66" s="3">
        <v>1</v>
      </c>
      <c r="P66" s="3">
        <v>1</v>
      </c>
      <c r="Q66" s="5">
        <v>6</v>
      </c>
      <c r="R66">
        <v>3686</v>
      </c>
      <c r="S66" cm="1">
        <f t="array" ref="S66">INDEX(($E$2:$E$81 + $H$2:$H$81), MATCH(1,($A$2:$A$81=O66)*($B$2:$B$81=Q66)*($C$2:$C$81=P66), 0))</f>
        <v>7579</v>
      </c>
      <c r="T66" cm="1">
        <f t="array" ref="T66">INDEX($D$2:$D$81, MATCH(1,($A$2:$A$81=O66)*($B$2:$B$81=Q66)*($C$2:$C$81=P66), 0))</f>
        <v>92.622278035099995</v>
      </c>
      <c r="U66" cm="1">
        <f t="array" ref="U66">INDEX(($E$2:$E$81)*($J$2:$J$81), MATCH(1,($A$2:$A$81=O66)*($B$2:$B$81=Q66)*($C$2:$C$81=P66), 0))</f>
        <v>0</v>
      </c>
      <c r="V66">
        <f t="shared" si="3"/>
        <v>0</v>
      </c>
      <c r="W66">
        <v>62.993000000000002</v>
      </c>
      <c r="X66" s="3">
        <v>780</v>
      </c>
      <c r="Y66" cm="1">
        <f t="array" ref="Y66">INDEX($J$2:$J$81, MATCH(1,($A$2:$A$81=O66)*($B$2:$B$81=Q66)*($C$2:$C$81=P66), 0))</f>
        <v>0</v>
      </c>
      <c r="AD66">
        <f t="shared" si="7"/>
        <v>341405.71683737857</v>
      </c>
      <c r="AE66">
        <f t="shared" si="8"/>
        <v>0</v>
      </c>
      <c r="AF66">
        <f t="shared" si="4"/>
        <v>0</v>
      </c>
      <c r="AG66">
        <f t="shared" si="5"/>
        <v>0</v>
      </c>
      <c r="AH66">
        <f t="shared" si="6"/>
        <v>24523.174900000002</v>
      </c>
    </row>
    <row r="67" spans="1:34" x14ac:dyDescent="0.2">
      <c r="A67" s="3">
        <v>4</v>
      </c>
      <c r="B67" s="3">
        <v>2</v>
      </c>
      <c r="C67" s="3">
        <v>1</v>
      </c>
      <c r="D67" s="7">
        <v>40.262127955796402</v>
      </c>
      <c r="E67" s="7">
        <v>0</v>
      </c>
      <c r="F67" s="7">
        <v>2354.125</v>
      </c>
      <c r="G67" s="7">
        <v>0</v>
      </c>
      <c r="H67" s="7">
        <v>6036.52</v>
      </c>
      <c r="I67" s="7">
        <v>3682.395</v>
      </c>
      <c r="J67">
        <f t="shared" ref="J67:J81" si="9">IF(E67&lt;0.01, 0, 1)</f>
        <v>0</v>
      </c>
      <c r="O67" s="3">
        <v>2</v>
      </c>
      <c r="P67" s="3">
        <v>1</v>
      </c>
      <c r="Q67" s="5">
        <v>6</v>
      </c>
      <c r="R67">
        <v>4680</v>
      </c>
      <c r="S67" cm="1">
        <f t="array" ref="S67">INDEX(($E$2:$E$81 + $H$2:$H$81), MATCH(1,($A$2:$A$81=O67)*($B$2:$B$81=Q67)*($C$2:$C$81=P67), 0))</f>
        <v>5948.34</v>
      </c>
      <c r="T67" cm="1">
        <f t="array" ref="T67">INDEX($D$2:$D$81, MATCH(1,($A$2:$A$81=O67)*($B$2:$B$81=Q67)*($C$2:$C$81=P67), 0))</f>
        <v>86.067851179132006</v>
      </c>
      <c r="U67" cm="1">
        <f t="array" ref="U67">INDEX(($E$2:$E$81)*($J$2:$J$81), MATCH(1,($A$2:$A$81=O67)*($B$2:$B$81=Q67)*($C$2:$C$81=P67), 0))</f>
        <v>0</v>
      </c>
      <c r="V67">
        <f t="shared" si="3"/>
        <v>0</v>
      </c>
      <c r="W67">
        <v>62.993000000000002</v>
      </c>
      <c r="X67" s="3">
        <v>780</v>
      </c>
      <c r="Y67" cm="1">
        <f t="array" ref="Y67">INDEX($J$2:$J$81, MATCH(1,($A$2:$A$81=O67)*($B$2:$B$81=Q67)*($C$2:$C$81=P67), 0))</f>
        <v>0</v>
      </c>
      <c r="AD67">
        <f t="shared" si="7"/>
        <v>402797.54351833777</v>
      </c>
      <c r="AE67">
        <f t="shared" si="8"/>
        <v>0</v>
      </c>
      <c r="AF67">
        <f t="shared" si="4"/>
        <v>0</v>
      </c>
      <c r="AG67">
        <f t="shared" si="5"/>
        <v>0</v>
      </c>
      <c r="AH67">
        <f t="shared" si="6"/>
        <v>7989.6541620000016</v>
      </c>
    </row>
    <row r="68" spans="1:34" x14ac:dyDescent="0.2">
      <c r="A68" s="3">
        <v>4</v>
      </c>
      <c r="B68" s="3">
        <v>3</v>
      </c>
      <c r="C68" s="3">
        <v>0</v>
      </c>
      <c r="D68" s="7">
        <v>70.761981760713297</v>
      </c>
      <c r="E68" s="7">
        <v>0</v>
      </c>
      <c r="F68" s="7">
        <v>746.83</v>
      </c>
      <c r="G68" s="7">
        <v>0</v>
      </c>
      <c r="H68" s="7">
        <v>1453.31</v>
      </c>
      <c r="I68" s="7">
        <v>706.48</v>
      </c>
      <c r="J68">
        <f t="shared" si="9"/>
        <v>0</v>
      </c>
      <c r="O68" s="3">
        <v>3</v>
      </c>
      <c r="P68" s="3">
        <v>1</v>
      </c>
      <c r="Q68" s="5">
        <v>6</v>
      </c>
      <c r="R68">
        <v>5569</v>
      </c>
      <c r="S68" cm="1">
        <f t="array" ref="S68">INDEX(($E$2:$E$81 + $H$2:$H$81), MATCH(1,($A$2:$A$81=O68)*($B$2:$B$81=Q68)*($C$2:$C$81=P68), 0))</f>
        <v>3704.2649999999999</v>
      </c>
      <c r="T68" cm="1">
        <f t="array" ref="T68">INDEX($D$2:$D$81, MATCH(1,($A$2:$A$81=O68)*($B$2:$B$81=Q68)*($C$2:$C$81=P68), 0))</f>
        <v>90.981649191714595</v>
      </c>
      <c r="U68" cm="1">
        <f t="array" ref="U68">INDEX(($E$2:$E$81)*($J$2:$J$81), MATCH(1,($A$2:$A$81=O68)*($B$2:$B$81=Q68)*($C$2:$C$81=P68), 0))</f>
        <v>0</v>
      </c>
      <c r="V68">
        <f t="shared" si="3"/>
        <v>1864.7350000000001</v>
      </c>
      <c r="W68">
        <v>62.993000000000002</v>
      </c>
      <c r="X68" s="3">
        <v>780</v>
      </c>
      <c r="Y68" cm="1">
        <f t="array" ref="Y68">INDEX($J$2:$J$81, MATCH(1,($A$2:$A$81=O68)*($B$2:$B$81=Q68)*($C$2:$C$81=P68), 0))</f>
        <v>0</v>
      </c>
      <c r="AD68">
        <f t="shared" si="7"/>
        <v>506676.8043486586</v>
      </c>
      <c r="AE68">
        <f t="shared" si="8"/>
        <v>0</v>
      </c>
      <c r="AF68">
        <f t="shared" si="4"/>
        <v>0</v>
      </c>
      <c r="AG68">
        <f t="shared" si="5"/>
        <v>16965.666560551192</v>
      </c>
      <c r="AH68">
        <f t="shared" si="6"/>
        <v>0</v>
      </c>
    </row>
    <row r="69" spans="1:34" x14ac:dyDescent="0.2">
      <c r="A69" s="3">
        <v>4</v>
      </c>
      <c r="B69" s="3">
        <v>3</v>
      </c>
      <c r="C69" s="3">
        <v>1</v>
      </c>
      <c r="D69" s="7">
        <v>72.734593566762598</v>
      </c>
      <c r="E69" s="7">
        <v>1814.3049999999801</v>
      </c>
      <c r="F69" s="7">
        <v>598.07500000000005</v>
      </c>
      <c r="G69" s="7">
        <v>0</v>
      </c>
      <c r="H69" s="7">
        <v>275.255</v>
      </c>
      <c r="I69" s="7">
        <v>1491.4849999999799</v>
      </c>
      <c r="J69">
        <f t="shared" si="9"/>
        <v>1</v>
      </c>
      <c r="O69" s="3">
        <v>4</v>
      </c>
      <c r="P69" s="3">
        <v>1</v>
      </c>
      <c r="Q69" s="5">
        <v>6</v>
      </c>
      <c r="R69">
        <v>5185</v>
      </c>
      <c r="S69" cm="1">
        <f t="array" ref="S69">INDEX(($E$2:$E$81 + $H$2:$H$81), MATCH(1,($A$2:$A$81=O69)*($B$2:$B$81=Q69)*($C$2:$C$81=P69), 0))</f>
        <v>9020.5600000000013</v>
      </c>
      <c r="T69" cm="1">
        <f t="array" ref="T69">INDEX($D$2:$D$81, MATCH(1,($A$2:$A$81=O69)*($B$2:$B$81=Q69)*($C$2:$C$81=P69), 0))</f>
        <v>84.995371103447297</v>
      </c>
      <c r="U69" cm="1">
        <f t="array" ref="U69">INDEX(($E$2:$E$81)*($J$2:$J$81), MATCH(1,($A$2:$A$81=O69)*($B$2:$B$81=Q69)*($C$2:$C$81=P69), 0))</f>
        <v>7755.77</v>
      </c>
      <c r="V69">
        <f t="shared" si="3"/>
        <v>0</v>
      </c>
      <c r="W69">
        <v>62.993000000000002</v>
      </c>
      <c r="X69" s="3">
        <v>780</v>
      </c>
      <c r="Y69" cm="1">
        <f t="array" ref="Y69">INDEX($J$2:$J$81, MATCH(1,($A$2:$A$81=O69)*($B$2:$B$81=Q69)*($C$2:$C$81=P69), 0))</f>
        <v>1</v>
      </c>
      <c r="AD69">
        <f t="shared" si="7"/>
        <v>440700.99917137425</v>
      </c>
      <c r="AE69">
        <f t="shared" si="8"/>
        <v>488559.21961000003</v>
      </c>
      <c r="AF69">
        <f t="shared" si="4"/>
        <v>780</v>
      </c>
      <c r="AG69">
        <f t="shared" si="5"/>
        <v>0</v>
      </c>
      <c r="AH69">
        <f t="shared" si="6"/>
        <v>24161.343108000012</v>
      </c>
    </row>
    <row r="70" spans="1:34" x14ac:dyDescent="0.2">
      <c r="A70" s="3">
        <v>4</v>
      </c>
      <c r="B70" s="3">
        <v>4</v>
      </c>
      <c r="C70" s="3">
        <v>0</v>
      </c>
      <c r="D70" s="7">
        <v>34.646467496307103</v>
      </c>
      <c r="E70" s="7">
        <v>0</v>
      </c>
      <c r="F70" s="7">
        <v>4350.7700000000004</v>
      </c>
      <c r="G70" s="7">
        <v>0</v>
      </c>
      <c r="H70" s="7">
        <v>8825.4500000000007</v>
      </c>
      <c r="I70" s="7">
        <v>4474.68</v>
      </c>
      <c r="J70">
        <f t="shared" si="9"/>
        <v>0</v>
      </c>
      <c r="O70" s="3">
        <v>1</v>
      </c>
      <c r="P70" s="3">
        <v>0</v>
      </c>
      <c r="Q70" s="5">
        <v>7</v>
      </c>
      <c r="R70">
        <v>2436</v>
      </c>
      <c r="S70" cm="1">
        <f t="array" ref="S70">INDEX(($E$2:$E$81 + $H$2:$H$81), MATCH(1,($A$2:$A$81=O70)*($B$2:$B$81=Q70)*($C$2:$C$81=P70), 0))</f>
        <v>5240</v>
      </c>
      <c r="T70" cm="1">
        <f t="array" ref="T70">INDEX($D$2:$D$81, MATCH(1,($A$2:$A$81=O70)*($B$2:$B$81=Q70)*($C$2:$C$81=P70), 0))</f>
        <v>59.352904267671903</v>
      </c>
      <c r="U70" cm="1">
        <f t="array" ref="U70">INDEX(($E$2:$E$81)*($J$2:$J$81), MATCH(1,($A$2:$A$81=O70)*($B$2:$B$81=Q70)*($C$2:$C$81=P70), 0))</f>
        <v>0</v>
      </c>
      <c r="V70">
        <f t="shared" si="3"/>
        <v>0</v>
      </c>
      <c r="W70">
        <v>46.4925</v>
      </c>
      <c r="X70" s="3">
        <v>530</v>
      </c>
      <c r="Y70" cm="1">
        <f t="array" ref="Y70">INDEX($J$2:$J$81, MATCH(1,($A$2:$A$81=O70)*($B$2:$B$81=Q70)*($C$2:$C$81=P70), 0))</f>
        <v>0</v>
      </c>
      <c r="AD70">
        <f t="shared" si="7"/>
        <v>144583.67479604876</v>
      </c>
      <c r="AE70">
        <f t="shared" si="8"/>
        <v>0</v>
      </c>
      <c r="AF70">
        <f t="shared" si="4"/>
        <v>0</v>
      </c>
      <c r="AG70">
        <f t="shared" si="5"/>
        <v>0</v>
      </c>
      <c r="AH70">
        <f t="shared" si="6"/>
        <v>13036.497000000001</v>
      </c>
    </row>
    <row r="71" spans="1:34" x14ac:dyDescent="0.2">
      <c r="A71" s="3">
        <v>4</v>
      </c>
      <c r="B71" s="3">
        <v>4</v>
      </c>
      <c r="C71" s="3">
        <v>1</v>
      </c>
      <c r="D71" s="7">
        <v>29.0610483735882</v>
      </c>
      <c r="E71" s="7">
        <v>0</v>
      </c>
      <c r="F71" s="7">
        <v>4360.2749999999996</v>
      </c>
      <c r="G71" s="7">
        <v>0</v>
      </c>
      <c r="H71" s="7">
        <v>7958.6949999999997</v>
      </c>
      <c r="I71" s="7">
        <v>3598.42</v>
      </c>
      <c r="J71">
        <f t="shared" si="9"/>
        <v>0</v>
      </c>
      <c r="O71" s="3">
        <v>2</v>
      </c>
      <c r="P71" s="3">
        <v>0</v>
      </c>
      <c r="Q71" s="5">
        <v>7</v>
      </c>
      <c r="R71">
        <v>3662</v>
      </c>
      <c r="S71" cm="1">
        <f t="array" ref="S71">INDEX(($E$2:$E$81 + $H$2:$H$81), MATCH(1,($A$2:$A$81=O71)*($B$2:$B$81=Q71)*($C$2:$C$81=P71), 0))</f>
        <v>3712.07</v>
      </c>
      <c r="T71" cm="1">
        <f t="array" ref="T71">INDEX($D$2:$D$81, MATCH(1,($A$2:$A$81=O71)*($B$2:$B$81=Q71)*($C$2:$C$81=P71), 0))</f>
        <v>63.208161490024501</v>
      </c>
      <c r="U71" cm="1">
        <f t="array" ref="U71">INDEX(($E$2:$E$81)*($J$2:$J$81), MATCH(1,($A$2:$A$81=O71)*($B$2:$B$81=Q71)*($C$2:$C$81=P71), 0))</f>
        <v>0</v>
      </c>
      <c r="V71">
        <f t="shared" si="3"/>
        <v>0</v>
      </c>
      <c r="W71">
        <v>46.4925</v>
      </c>
      <c r="X71" s="3">
        <v>530</v>
      </c>
      <c r="Y71" cm="1">
        <f t="array" ref="Y71">INDEX($J$2:$J$81, MATCH(1,($A$2:$A$81=O71)*($B$2:$B$81=Q71)*($C$2:$C$81=P71), 0))</f>
        <v>0</v>
      </c>
      <c r="AD71">
        <f t="shared" si="7"/>
        <v>231468.28737646973</v>
      </c>
      <c r="AE71">
        <f t="shared" si="8"/>
        <v>0</v>
      </c>
      <c r="AF71">
        <f t="shared" si="4"/>
        <v>0</v>
      </c>
      <c r="AG71">
        <f t="shared" si="5"/>
        <v>0</v>
      </c>
      <c r="AH71">
        <f t="shared" si="6"/>
        <v>232.78794750000077</v>
      </c>
    </row>
    <row r="72" spans="1:34" x14ac:dyDescent="0.2">
      <c r="A72" s="3">
        <v>4</v>
      </c>
      <c r="B72" s="3">
        <v>5</v>
      </c>
      <c r="C72" s="3">
        <v>0</v>
      </c>
      <c r="D72" s="7">
        <v>58.8582783924832</v>
      </c>
      <c r="E72" s="7">
        <v>0</v>
      </c>
      <c r="F72" s="7">
        <v>1293.67</v>
      </c>
      <c r="G72" s="7">
        <v>0</v>
      </c>
      <c r="H72" s="7">
        <v>3835.895</v>
      </c>
      <c r="I72" s="7">
        <v>2542.2249999999999</v>
      </c>
      <c r="J72">
        <f t="shared" si="9"/>
        <v>0</v>
      </c>
      <c r="O72" s="3">
        <v>3</v>
      </c>
      <c r="P72" s="3">
        <v>0</v>
      </c>
      <c r="Q72" s="5">
        <v>7</v>
      </c>
      <c r="R72">
        <v>2208</v>
      </c>
      <c r="S72" cm="1">
        <f t="array" ref="S72">INDEX(($E$2:$E$81 + $H$2:$H$81), MATCH(1,($A$2:$A$81=O72)*($B$2:$B$81=Q72)*($C$2:$C$81=P72), 0))</f>
        <v>7223.4549999999999</v>
      </c>
      <c r="T72" cm="1">
        <f t="array" ref="T72">INDEX($D$2:$D$81, MATCH(1,($A$2:$A$81=O72)*($B$2:$B$81=Q72)*($C$2:$C$81=P72), 0))</f>
        <v>65.742925758941198</v>
      </c>
      <c r="U72" cm="1">
        <f t="array" ref="U72">INDEX(($E$2:$E$81)*($J$2:$J$81), MATCH(1,($A$2:$A$81=O72)*($B$2:$B$81=Q72)*($C$2:$C$81=P72), 0))</f>
        <v>5702.5</v>
      </c>
      <c r="V72">
        <f t="shared" si="3"/>
        <v>0</v>
      </c>
      <c r="W72">
        <v>46.4925</v>
      </c>
      <c r="X72" s="3">
        <v>530</v>
      </c>
      <c r="Y72" cm="1">
        <f t="array" ref="Y72">INDEX($J$2:$J$81, MATCH(1,($A$2:$A$81=O72)*($B$2:$B$81=Q72)*($C$2:$C$81=P72), 0))</f>
        <v>1</v>
      </c>
      <c r="AD72">
        <f t="shared" si="7"/>
        <v>145160.38007574217</v>
      </c>
      <c r="AE72">
        <f t="shared" si="8"/>
        <v>265123.48125000001</v>
      </c>
      <c r="AF72">
        <f t="shared" si="4"/>
        <v>530</v>
      </c>
      <c r="AG72">
        <f t="shared" si="5"/>
        <v>0</v>
      </c>
      <c r="AH72">
        <f t="shared" si="6"/>
        <v>23318.10415875</v>
      </c>
    </row>
    <row r="73" spans="1:34" x14ac:dyDescent="0.2">
      <c r="A73" s="3">
        <v>4</v>
      </c>
      <c r="B73" s="3">
        <v>5</v>
      </c>
      <c r="C73" s="3">
        <v>1</v>
      </c>
      <c r="D73" s="7">
        <v>57.140287418331098</v>
      </c>
      <c r="E73" s="7">
        <v>0</v>
      </c>
      <c r="F73" s="7">
        <v>1338.095</v>
      </c>
      <c r="G73" s="7">
        <v>0</v>
      </c>
      <c r="H73" s="7">
        <v>3114.4</v>
      </c>
      <c r="I73" s="7">
        <v>1776.3050000000001</v>
      </c>
      <c r="J73">
        <f t="shared" si="9"/>
        <v>0</v>
      </c>
      <c r="O73" s="3">
        <v>4</v>
      </c>
      <c r="P73" s="3">
        <v>0</v>
      </c>
      <c r="Q73" s="5">
        <v>7</v>
      </c>
      <c r="R73">
        <v>4180</v>
      </c>
      <c r="S73" cm="1">
        <f t="array" ref="S73">INDEX(($E$2:$E$81 + $H$2:$H$81), MATCH(1,($A$2:$A$81=O73)*($B$2:$B$81=Q73)*($C$2:$C$81=P73), 0))</f>
        <v>5479.625</v>
      </c>
      <c r="T73" cm="1">
        <f t="array" ref="T73">INDEX($D$2:$D$81, MATCH(1,($A$2:$A$81=O73)*($B$2:$B$81=Q73)*($C$2:$C$81=P73), 0))</f>
        <v>59.781132705498003</v>
      </c>
      <c r="U73" cm="1">
        <f t="array" ref="U73">INDEX(($E$2:$E$81)*($J$2:$J$81), MATCH(1,($A$2:$A$81=O73)*($B$2:$B$81=Q73)*($C$2:$C$81=P73), 0))</f>
        <v>0</v>
      </c>
      <c r="V73">
        <f t="shared" si="3"/>
        <v>0</v>
      </c>
      <c r="W73">
        <v>46.4925</v>
      </c>
      <c r="X73" s="3">
        <v>530</v>
      </c>
      <c r="Y73" cm="1">
        <f t="array" ref="Y73">INDEX($J$2:$J$81, MATCH(1,($A$2:$A$81=O73)*($B$2:$B$81=Q73)*($C$2:$C$81=P73), 0))</f>
        <v>0</v>
      </c>
      <c r="AD73">
        <f t="shared" si="7"/>
        <v>249885.13470898164</v>
      </c>
      <c r="AE73">
        <f t="shared" si="8"/>
        <v>0</v>
      </c>
      <c r="AF73">
        <f t="shared" si="4"/>
        <v>0</v>
      </c>
      <c r="AG73">
        <f t="shared" si="5"/>
        <v>0</v>
      </c>
      <c r="AH73">
        <f t="shared" si="6"/>
        <v>6042.2815312500006</v>
      </c>
    </row>
    <row r="74" spans="1:34" x14ac:dyDescent="0.2">
      <c r="A74" s="3">
        <v>4</v>
      </c>
      <c r="B74" s="3">
        <v>6</v>
      </c>
      <c r="C74" s="3">
        <v>0</v>
      </c>
      <c r="D74" s="7">
        <v>97.100451525436796</v>
      </c>
      <c r="E74" s="7">
        <v>6663.4250000000002</v>
      </c>
      <c r="F74" s="7">
        <v>1691.77</v>
      </c>
      <c r="G74" s="7">
        <v>0</v>
      </c>
      <c r="H74" s="7">
        <v>1277.5650000000001</v>
      </c>
      <c r="I74" s="7">
        <v>6249.22</v>
      </c>
      <c r="J74">
        <f t="shared" si="9"/>
        <v>1</v>
      </c>
      <c r="O74" s="3">
        <v>1</v>
      </c>
      <c r="P74" s="3">
        <v>1</v>
      </c>
      <c r="Q74" s="5">
        <v>7</v>
      </c>
      <c r="R74">
        <v>3446</v>
      </c>
      <c r="S74" cm="1">
        <f t="array" ref="S74">INDEX(($E$2:$E$81 + $H$2:$H$81), MATCH(1,($A$2:$A$81=O74)*($B$2:$B$81=Q74)*($C$2:$C$81=P74), 0))</f>
        <v>5087</v>
      </c>
      <c r="T74" cm="1">
        <f t="array" ref="T74">INDEX($D$2:$D$81, MATCH(1,($A$2:$A$81=O74)*($B$2:$B$81=Q74)*($C$2:$C$81=P74), 0))</f>
        <v>64.6266682541563</v>
      </c>
      <c r="U74" cm="1">
        <f t="array" ref="U74">INDEX(($E$2:$E$81)*($J$2:$J$81), MATCH(1,($A$2:$A$81=O74)*($B$2:$B$81=Q74)*($C$2:$C$81=P74), 0))</f>
        <v>0</v>
      </c>
      <c r="V74">
        <f t="shared" si="3"/>
        <v>0</v>
      </c>
      <c r="W74">
        <v>46.4925</v>
      </c>
      <c r="X74" s="3">
        <v>530</v>
      </c>
      <c r="Y74" cm="1">
        <f t="array" ref="Y74">INDEX($J$2:$J$81, MATCH(1,($A$2:$A$81=O74)*($B$2:$B$81=Q74)*($C$2:$C$81=P74), 0))</f>
        <v>0</v>
      </c>
      <c r="AD74">
        <f t="shared" si="7"/>
        <v>222703.49880382261</v>
      </c>
      <c r="AE74">
        <f t="shared" si="8"/>
        <v>0</v>
      </c>
      <c r="AF74">
        <f t="shared" si="4"/>
        <v>0</v>
      </c>
      <c r="AG74">
        <f t="shared" si="5"/>
        <v>0</v>
      </c>
      <c r="AH74">
        <f t="shared" si="6"/>
        <v>7629.4192500000008</v>
      </c>
    </row>
    <row r="75" spans="1:34" x14ac:dyDescent="0.2">
      <c r="A75" s="3">
        <v>4</v>
      </c>
      <c r="B75" s="3">
        <v>6</v>
      </c>
      <c r="C75" s="3">
        <v>1</v>
      </c>
      <c r="D75" s="7">
        <v>84.995371103447297</v>
      </c>
      <c r="E75" s="7">
        <v>7755.77</v>
      </c>
      <c r="F75" s="7">
        <v>2295.33</v>
      </c>
      <c r="G75" s="7">
        <v>0</v>
      </c>
      <c r="H75" s="7">
        <v>1264.79</v>
      </c>
      <c r="I75" s="7">
        <v>6725.23</v>
      </c>
      <c r="J75">
        <f t="shared" si="9"/>
        <v>1</v>
      </c>
      <c r="O75" s="3">
        <v>2</v>
      </c>
      <c r="P75" s="3">
        <v>1</v>
      </c>
      <c r="Q75" s="5">
        <v>7</v>
      </c>
      <c r="R75">
        <v>2974</v>
      </c>
      <c r="S75" cm="1">
        <f t="array" ref="S75">INDEX(($E$2:$E$81 + $H$2:$H$81), MATCH(1,($A$2:$A$81=O75)*($B$2:$B$81=Q75)*($C$2:$C$81=P75), 0))</f>
        <v>3434.04</v>
      </c>
      <c r="T75" cm="1">
        <f t="array" ref="T75">INDEX($D$2:$D$81, MATCH(1,($A$2:$A$81=O75)*($B$2:$B$81=Q75)*($C$2:$C$81=P75), 0))</f>
        <v>64.139158689195</v>
      </c>
      <c r="U75" cm="1">
        <f t="array" ref="U75">INDEX(($E$2:$E$81)*($J$2:$J$81), MATCH(1,($A$2:$A$81=O75)*($B$2:$B$81=Q75)*($C$2:$C$81=P75), 0))</f>
        <v>0</v>
      </c>
      <c r="V75">
        <f t="shared" si="3"/>
        <v>0</v>
      </c>
      <c r="W75">
        <v>46.4925</v>
      </c>
      <c r="X75" s="3">
        <v>530</v>
      </c>
      <c r="Y75" cm="1">
        <f t="array" ref="Y75">INDEX($J$2:$J$81, MATCH(1,($A$2:$A$81=O75)*($B$2:$B$81=Q75)*($C$2:$C$81=P75), 0))</f>
        <v>0</v>
      </c>
      <c r="AD75">
        <f t="shared" si="7"/>
        <v>190749.85794166592</v>
      </c>
      <c r="AE75">
        <f t="shared" si="8"/>
        <v>0</v>
      </c>
      <c r="AF75">
        <f t="shared" si="4"/>
        <v>0</v>
      </c>
      <c r="AG75">
        <f t="shared" si="5"/>
        <v>0</v>
      </c>
      <c r="AH75">
        <f t="shared" si="6"/>
        <v>2138.8409700000002</v>
      </c>
    </row>
    <row r="76" spans="1:34" x14ac:dyDescent="0.2">
      <c r="A76" s="3">
        <v>4</v>
      </c>
      <c r="B76" s="3">
        <v>7</v>
      </c>
      <c r="C76" s="3">
        <v>0</v>
      </c>
      <c r="D76" s="7">
        <v>59.781132705498003</v>
      </c>
      <c r="E76" s="7">
        <v>0</v>
      </c>
      <c r="F76" s="7">
        <v>1972.35</v>
      </c>
      <c r="G76" s="7">
        <v>0</v>
      </c>
      <c r="H76" s="7">
        <v>5479.625</v>
      </c>
      <c r="I76" s="7">
        <v>3507.2750000000001</v>
      </c>
      <c r="J76">
        <f t="shared" si="9"/>
        <v>0</v>
      </c>
      <c r="O76" s="3">
        <v>3</v>
      </c>
      <c r="P76" s="3">
        <v>1</v>
      </c>
      <c r="Q76" s="5">
        <v>7</v>
      </c>
      <c r="R76">
        <v>2682</v>
      </c>
      <c r="S76" cm="1">
        <f t="array" ref="S76">INDEX(($E$2:$E$81 + $H$2:$H$81), MATCH(1,($A$2:$A$81=O76)*($B$2:$B$81=Q76)*($C$2:$C$81=P76), 0))</f>
        <v>6110.8850000000002</v>
      </c>
      <c r="T76" cm="1">
        <f t="array" ref="T76">INDEX($D$2:$D$81, MATCH(1,($A$2:$A$81=O76)*($B$2:$B$81=Q76)*($C$2:$C$81=P76), 0))</f>
        <v>66.371920453083803</v>
      </c>
      <c r="U76" cm="1">
        <f t="array" ref="U76">INDEX(($E$2:$E$81)*($J$2:$J$81), MATCH(1,($A$2:$A$81=O76)*($B$2:$B$81=Q76)*($C$2:$C$81=P76), 0))</f>
        <v>4033.73</v>
      </c>
      <c r="V76">
        <f t="shared" si="3"/>
        <v>0</v>
      </c>
      <c r="W76">
        <v>46.4925</v>
      </c>
      <c r="X76" s="3">
        <v>530</v>
      </c>
      <c r="Y76" cm="1">
        <f t="array" ref="Y76">INDEX($J$2:$J$81, MATCH(1,($A$2:$A$81=O76)*($B$2:$B$81=Q76)*($C$2:$C$81=P76), 0))</f>
        <v>1</v>
      </c>
      <c r="AD76">
        <f t="shared" si="7"/>
        <v>178009.49065517075</v>
      </c>
      <c r="AE76">
        <f t="shared" si="8"/>
        <v>187538.192025</v>
      </c>
      <c r="AF76">
        <f t="shared" si="4"/>
        <v>530</v>
      </c>
      <c r="AG76">
        <f t="shared" si="5"/>
        <v>0</v>
      </c>
      <c r="AH76">
        <f t="shared" si="6"/>
        <v>15941.743586250002</v>
      </c>
    </row>
    <row r="77" spans="1:34" x14ac:dyDescent="0.2">
      <c r="A77" s="3">
        <v>4</v>
      </c>
      <c r="B77" s="3">
        <v>7</v>
      </c>
      <c r="C77" s="3">
        <v>1</v>
      </c>
      <c r="D77" s="7">
        <v>60.801792412999099</v>
      </c>
      <c r="E77" s="7">
        <v>0</v>
      </c>
      <c r="F77" s="7">
        <v>1436.335</v>
      </c>
      <c r="G77" s="7">
        <v>0</v>
      </c>
      <c r="H77" s="7">
        <v>4514.75</v>
      </c>
      <c r="I77" s="7">
        <v>3078.415</v>
      </c>
      <c r="J77">
        <f t="shared" si="9"/>
        <v>0</v>
      </c>
      <c r="O77" s="3">
        <v>4</v>
      </c>
      <c r="P77" s="3">
        <v>1</v>
      </c>
      <c r="Q77" s="5">
        <v>7</v>
      </c>
      <c r="R77">
        <v>2993</v>
      </c>
      <c r="S77" cm="1">
        <f t="array" ref="S77">INDEX(($E$2:$E$81 + $H$2:$H$81), MATCH(1,($A$2:$A$81=O77)*($B$2:$B$81=Q77)*($C$2:$C$81=P77), 0))</f>
        <v>4514.75</v>
      </c>
      <c r="T77" cm="1">
        <f t="array" ref="T77">INDEX($D$2:$D$81, MATCH(1,($A$2:$A$81=O77)*($B$2:$B$81=Q77)*($C$2:$C$81=P77), 0))</f>
        <v>60.801792412999099</v>
      </c>
      <c r="U77" cm="1">
        <f t="array" ref="U77">INDEX(($E$2:$E$81)*($J$2:$J$81), MATCH(1,($A$2:$A$81=O77)*($B$2:$B$81=Q77)*($C$2:$C$81=P77), 0))</f>
        <v>0</v>
      </c>
      <c r="V77">
        <f t="shared" si="3"/>
        <v>0</v>
      </c>
      <c r="W77">
        <v>46.4925</v>
      </c>
      <c r="X77" s="3">
        <v>530</v>
      </c>
      <c r="Y77" cm="1">
        <f t="array" ref="Y77">INDEX($J$2:$J$81, MATCH(1,($A$2:$A$81=O77)*($B$2:$B$81=Q77)*($C$2:$C$81=P77), 0))</f>
        <v>0</v>
      </c>
      <c r="AD77">
        <f t="shared" si="7"/>
        <v>181979.76469210631</v>
      </c>
      <c r="AE77">
        <f t="shared" si="8"/>
        <v>0</v>
      </c>
      <c r="AF77">
        <f t="shared" si="4"/>
        <v>0</v>
      </c>
      <c r="AG77">
        <f t="shared" si="5"/>
        <v>0</v>
      </c>
      <c r="AH77">
        <f t="shared" si="6"/>
        <v>7074.9961875000008</v>
      </c>
    </row>
    <row r="78" spans="1:34" x14ac:dyDescent="0.2">
      <c r="A78" s="3">
        <v>4</v>
      </c>
      <c r="B78" s="3">
        <v>8</v>
      </c>
      <c r="C78" s="3">
        <v>0</v>
      </c>
      <c r="D78" s="7">
        <v>41.251241274498497</v>
      </c>
      <c r="E78" s="7">
        <v>0</v>
      </c>
      <c r="F78" s="7">
        <v>3512.06</v>
      </c>
      <c r="G78" s="7">
        <v>0</v>
      </c>
      <c r="H78" s="7">
        <v>5760.91</v>
      </c>
      <c r="I78" s="7">
        <v>2248.85</v>
      </c>
      <c r="J78">
        <f t="shared" si="9"/>
        <v>0</v>
      </c>
      <c r="O78" s="3">
        <v>1</v>
      </c>
      <c r="P78" s="3">
        <v>0</v>
      </c>
      <c r="Q78" s="5">
        <v>8</v>
      </c>
      <c r="R78">
        <v>2962</v>
      </c>
      <c r="S78" cm="1">
        <f t="array" ref="S78">INDEX(($E$2:$E$81 + $H$2:$H$81), MATCH(1,($A$2:$A$81=O78)*($B$2:$B$81=Q78)*($C$2:$C$81=P78), 0))</f>
        <v>6206</v>
      </c>
      <c r="T78" cm="1">
        <f t="array" ref="T78">INDEX($D$2:$D$81, MATCH(1,($A$2:$A$81=O78)*($B$2:$B$81=Q78)*($C$2:$C$81=P78), 0))</f>
        <v>41.045529715543303</v>
      </c>
      <c r="U78" cm="1">
        <f t="array" ref="U78">INDEX(($E$2:$E$81)*($J$2:$J$81), MATCH(1,($A$2:$A$81=O78)*($B$2:$B$81=Q78)*($C$2:$C$81=P78), 0))</f>
        <v>0</v>
      </c>
      <c r="V78">
        <f t="shared" si="3"/>
        <v>0</v>
      </c>
      <c r="W78">
        <v>32.391900000000007</v>
      </c>
      <c r="X78" s="3">
        <v>530</v>
      </c>
      <c r="Y78" cm="1">
        <f t="array" ref="Y78">INDEX($J$2:$J$81, MATCH(1,($A$2:$A$81=O78)*($B$2:$B$81=Q78)*($C$2:$C$81=P78), 0))</f>
        <v>0</v>
      </c>
      <c r="AD78">
        <f t="shared" ref="AD78:AD93" si="10">R78*T78</f>
        <v>121576.85901743926</v>
      </c>
      <c r="AE78">
        <f t="shared" ref="AE78:AE93" si="11">W78*U78</f>
        <v>0</v>
      </c>
      <c r="AF78">
        <f t="shared" si="4"/>
        <v>0</v>
      </c>
      <c r="AG78">
        <f t="shared" si="5"/>
        <v>0</v>
      </c>
      <c r="AH78">
        <f t="shared" si="6"/>
        <v>10507.932360000003</v>
      </c>
    </row>
    <row r="79" spans="1:34" x14ac:dyDescent="0.2">
      <c r="A79" s="3">
        <v>4</v>
      </c>
      <c r="B79" s="3">
        <v>8</v>
      </c>
      <c r="C79" s="3">
        <v>1</v>
      </c>
      <c r="D79" s="7">
        <v>40.145156736902202</v>
      </c>
      <c r="E79" s="7">
        <v>0</v>
      </c>
      <c r="F79" s="7">
        <v>2827.4</v>
      </c>
      <c r="G79" s="7">
        <v>0</v>
      </c>
      <c r="H79" s="7">
        <v>6865.6450000000004</v>
      </c>
      <c r="I79" s="7">
        <v>4038.2449999999999</v>
      </c>
      <c r="J79">
        <f t="shared" si="9"/>
        <v>0</v>
      </c>
      <c r="O79" s="3">
        <v>2</v>
      </c>
      <c r="P79" s="3">
        <v>0</v>
      </c>
      <c r="Q79" s="5">
        <v>8</v>
      </c>
      <c r="R79">
        <v>4255</v>
      </c>
      <c r="S79" cm="1">
        <f t="array" ref="S79">INDEX(($E$2:$E$81 + $H$2:$H$81), MATCH(1,($A$2:$A$81=O79)*($B$2:$B$81=Q79)*($C$2:$C$81=P79), 0))</f>
        <v>12130.285</v>
      </c>
      <c r="T79" cm="1">
        <f t="array" ref="T79">INDEX($D$2:$D$81, MATCH(1,($A$2:$A$81=O79)*($B$2:$B$81=Q79)*($C$2:$C$81=P79), 0))</f>
        <v>38.797051956457601</v>
      </c>
      <c r="U79" cm="1">
        <f t="array" ref="U79">INDEX(($E$2:$E$81)*($J$2:$J$81), MATCH(1,($A$2:$A$81=O79)*($B$2:$B$81=Q79)*($C$2:$C$81=P79), 0))</f>
        <v>8182.38</v>
      </c>
      <c r="V79">
        <f t="shared" ref="V79:V93" si="12">IF(S79-R79&gt;0, 0, R79-S79)</f>
        <v>0</v>
      </c>
      <c r="W79">
        <v>32.391900000000007</v>
      </c>
      <c r="X79" s="3">
        <v>530</v>
      </c>
      <c r="Y79" cm="1">
        <f t="array" ref="Y79">INDEX($J$2:$J$81, MATCH(1,($A$2:$A$81=O79)*($B$2:$B$81=Q79)*($C$2:$C$81=P79), 0))</f>
        <v>1</v>
      </c>
      <c r="AD79">
        <f t="shared" si="10"/>
        <v>165081.45607472709</v>
      </c>
      <c r="AE79">
        <f t="shared" si="11"/>
        <v>265042.83472200006</v>
      </c>
      <c r="AF79">
        <f t="shared" ref="AF79:AF93" si="13">Y79*X79</f>
        <v>530</v>
      </c>
      <c r="AG79">
        <f t="shared" ref="AG79:AG93" si="14">V79*T79*0.1</f>
        <v>0</v>
      </c>
      <c r="AH79">
        <f t="shared" ref="AH79:AH93" si="15">W79*0.1*(IF(S79-R79&gt;0, S79-R79, 0))</f>
        <v>25509.544419150006</v>
      </c>
    </row>
    <row r="80" spans="1:34" x14ac:dyDescent="0.2">
      <c r="A80" s="3">
        <v>4</v>
      </c>
      <c r="B80" s="3">
        <v>9</v>
      </c>
      <c r="C80" s="3">
        <v>0</v>
      </c>
      <c r="D80" s="7">
        <v>23.241155625161898</v>
      </c>
      <c r="E80" s="7">
        <v>0</v>
      </c>
      <c r="F80" s="7">
        <v>4312.7700000000004</v>
      </c>
      <c r="G80" s="7">
        <v>0</v>
      </c>
      <c r="H80" s="7">
        <v>8762.3649999999998</v>
      </c>
      <c r="I80" s="7">
        <v>4449.5950000000003</v>
      </c>
      <c r="J80">
        <f t="shared" si="9"/>
        <v>0</v>
      </c>
      <c r="O80" s="3">
        <v>3</v>
      </c>
      <c r="P80" s="3">
        <v>0</v>
      </c>
      <c r="Q80" s="5">
        <v>8</v>
      </c>
      <c r="R80">
        <v>2003</v>
      </c>
      <c r="S80" cm="1">
        <f t="array" ref="S80">INDEX(($E$2:$E$81 + $H$2:$H$81), MATCH(1,($A$2:$A$81=O80)*($B$2:$B$81=Q80)*($C$2:$C$81=P80), 0))</f>
        <v>9114.02</v>
      </c>
      <c r="T80" cm="1">
        <f t="array" ref="T80">INDEX($D$2:$D$81, MATCH(1,($A$2:$A$81=O80)*($B$2:$B$81=Q80)*($C$2:$C$81=P80), 0))</f>
        <v>42.989977616179303</v>
      </c>
      <c r="U80" cm="1">
        <f t="array" ref="U80">INDEX(($E$2:$E$81)*($J$2:$J$81), MATCH(1,($A$2:$A$81=O80)*($B$2:$B$81=Q80)*($C$2:$C$81=P80), 0))</f>
        <v>0</v>
      </c>
      <c r="V80">
        <f t="shared" si="12"/>
        <v>0</v>
      </c>
      <c r="W80">
        <v>32.391900000000007</v>
      </c>
      <c r="X80" s="3">
        <v>530</v>
      </c>
      <c r="Y80" cm="1">
        <f t="array" ref="Y80">INDEX($J$2:$J$81, MATCH(1,($A$2:$A$81=O80)*($B$2:$B$81=Q80)*($C$2:$C$81=P80), 0))</f>
        <v>0</v>
      </c>
      <c r="AD80">
        <f t="shared" si="10"/>
        <v>86108.92516520714</v>
      </c>
      <c r="AE80">
        <f t="shared" si="11"/>
        <v>0</v>
      </c>
      <c r="AF80">
        <f t="shared" si="13"/>
        <v>0</v>
      </c>
      <c r="AG80">
        <f t="shared" si="14"/>
        <v>0</v>
      </c>
      <c r="AH80">
        <f t="shared" si="15"/>
        <v>23033.944873800006</v>
      </c>
    </row>
    <row r="81" spans="1:36" x14ac:dyDescent="0.2">
      <c r="A81" s="3">
        <v>4</v>
      </c>
      <c r="B81" s="3">
        <v>9</v>
      </c>
      <c r="C81" s="3">
        <v>1</v>
      </c>
      <c r="D81" s="7">
        <v>22.672834113328499</v>
      </c>
      <c r="E81" s="7">
        <v>0</v>
      </c>
      <c r="F81" s="7">
        <v>9532.6550000000007</v>
      </c>
      <c r="G81" s="7">
        <v>0</v>
      </c>
      <c r="H81" s="7">
        <v>14607.659999998299</v>
      </c>
      <c r="I81" s="7">
        <v>5075.0049999983203</v>
      </c>
      <c r="J81">
        <f t="shared" si="9"/>
        <v>0</v>
      </c>
      <c r="O81" s="3">
        <v>4</v>
      </c>
      <c r="P81" s="3">
        <v>0</v>
      </c>
      <c r="Q81" s="5">
        <v>8</v>
      </c>
      <c r="R81">
        <v>3081</v>
      </c>
      <c r="S81" cm="1">
        <f t="array" ref="S81">INDEX(($E$2:$E$81 + $H$2:$H$81), MATCH(1,($A$2:$A$81=O81)*($B$2:$B$81=Q81)*($C$2:$C$81=P81), 0))</f>
        <v>5760.91</v>
      </c>
      <c r="T81" cm="1">
        <f t="array" ref="T81">INDEX($D$2:$D$81, MATCH(1,($A$2:$A$81=O81)*($B$2:$B$81=Q81)*($C$2:$C$81=P81), 0))</f>
        <v>41.251241274498497</v>
      </c>
      <c r="U81" cm="1">
        <f t="array" ref="U81">INDEX(($E$2:$E$81)*($J$2:$J$81), MATCH(1,($A$2:$A$81=O81)*($B$2:$B$81=Q81)*($C$2:$C$81=P81), 0))</f>
        <v>0</v>
      </c>
      <c r="V81">
        <f t="shared" si="12"/>
        <v>0</v>
      </c>
      <c r="W81">
        <v>32.391900000000007</v>
      </c>
      <c r="X81" s="3">
        <v>530</v>
      </c>
      <c r="Y81" cm="1">
        <f t="array" ref="Y81">INDEX($J$2:$J$81, MATCH(1,($A$2:$A$81=O81)*($B$2:$B$81=Q81)*($C$2:$C$81=P81), 0))</f>
        <v>0</v>
      </c>
      <c r="AD81">
        <f t="shared" si="10"/>
        <v>127095.07436672987</v>
      </c>
      <c r="AE81">
        <f t="shared" si="11"/>
        <v>0</v>
      </c>
      <c r="AF81">
        <f t="shared" si="13"/>
        <v>0</v>
      </c>
      <c r="AG81">
        <f t="shared" si="14"/>
        <v>0</v>
      </c>
      <c r="AH81">
        <f t="shared" si="15"/>
        <v>8680.7376729000007</v>
      </c>
    </row>
    <row r="82" spans="1:36" x14ac:dyDescent="0.2">
      <c r="O82" s="3">
        <v>1</v>
      </c>
      <c r="P82" s="3">
        <v>1</v>
      </c>
      <c r="Q82" s="5">
        <v>8</v>
      </c>
      <c r="R82">
        <v>1669</v>
      </c>
      <c r="S82" cm="1">
        <f t="array" ref="S82">INDEX(($E$2:$E$81 + $H$2:$H$81), MATCH(1,($A$2:$A$81=O82)*($B$2:$B$81=Q82)*($C$2:$C$81=P82), 0))</f>
        <v>5817</v>
      </c>
      <c r="T82" cm="1">
        <f t="array" ref="T82">INDEX($D$2:$D$81, MATCH(1,($A$2:$A$81=O82)*($B$2:$B$81=Q82)*($C$2:$C$81=P82), 0))</f>
        <v>43.224169059347901</v>
      </c>
      <c r="U82" cm="1">
        <f t="array" ref="U82">INDEX(($E$2:$E$81)*($J$2:$J$81), MATCH(1,($A$2:$A$81=O82)*($B$2:$B$81=Q82)*($C$2:$C$81=P82), 0))</f>
        <v>0</v>
      </c>
      <c r="V82">
        <f t="shared" si="12"/>
        <v>0</v>
      </c>
      <c r="W82">
        <v>32.391900000000007</v>
      </c>
      <c r="X82" s="3">
        <v>530</v>
      </c>
      <c r="Y82" cm="1">
        <f t="array" ref="Y82">INDEX($J$2:$J$81, MATCH(1,($A$2:$A$81=O82)*($B$2:$B$81=Q82)*($C$2:$C$81=P82), 0))</f>
        <v>0</v>
      </c>
      <c r="AD82">
        <f t="shared" si="10"/>
        <v>72141.138160051647</v>
      </c>
      <c r="AE82">
        <f t="shared" si="11"/>
        <v>0</v>
      </c>
      <c r="AF82">
        <f t="shared" si="13"/>
        <v>0</v>
      </c>
      <c r="AG82">
        <f t="shared" si="14"/>
        <v>0</v>
      </c>
      <c r="AH82">
        <f t="shared" si="15"/>
        <v>13436.160120000002</v>
      </c>
    </row>
    <row r="83" spans="1:36" x14ac:dyDescent="0.2">
      <c r="O83" s="3">
        <v>2</v>
      </c>
      <c r="P83" s="3">
        <v>1</v>
      </c>
      <c r="Q83" s="5">
        <v>8</v>
      </c>
      <c r="R83">
        <v>1109</v>
      </c>
      <c r="S83" cm="1">
        <f t="array" ref="S83">INDEX(($E$2:$E$81 + $H$2:$H$81), MATCH(1,($A$2:$A$81=O83)*($B$2:$B$81=Q83)*($C$2:$C$81=P83), 0))</f>
        <v>3753.835</v>
      </c>
      <c r="T83" cm="1">
        <f t="array" ref="T83">INDEX($D$2:$D$81, MATCH(1,($A$2:$A$81=O83)*($B$2:$B$81=Q83)*($C$2:$C$81=P83), 0))</f>
        <v>40.752632501809799</v>
      </c>
      <c r="U83" cm="1">
        <f t="array" ref="U83">INDEX(($E$2:$E$81)*($J$2:$J$81), MATCH(1,($A$2:$A$81=O83)*($B$2:$B$81=Q83)*($C$2:$C$81=P83), 0))</f>
        <v>0</v>
      </c>
      <c r="V83">
        <f t="shared" si="12"/>
        <v>0</v>
      </c>
      <c r="W83">
        <v>32.391900000000007</v>
      </c>
      <c r="X83" s="3">
        <v>530</v>
      </c>
      <c r="Y83" cm="1">
        <f t="array" ref="Y83">INDEX($J$2:$J$81, MATCH(1,($A$2:$A$81=O83)*($B$2:$B$81=Q83)*($C$2:$C$81=P83), 0))</f>
        <v>0</v>
      </c>
      <c r="AD83">
        <f t="shared" si="10"/>
        <v>45194.669444507068</v>
      </c>
      <c r="AE83">
        <f t="shared" si="11"/>
        <v>0</v>
      </c>
      <c r="AF83">
        <f t="shared" si="13"/>
        <v>0</v>
      </c>
      <c r="AG83">
        <f t="shared" si="14"/>
        <v>0</v>
      </c>
      <c r="AH83">
        <f t="shared" si="15"/>
        <v>8567.1230836500017</v>
      </c>
    </row>
    <row r="84" spans="1:36" x14ac:dyDescent="0.2">
      <c r="O84" s="3">
        <v>3</v>
      </c>
      <c r="P84" s="3">
        <v>1</v>
      </c>
      <c r="Q84" s="5">
        <v>8</v>
      </c>
      <c r="R84">
        <v>4584</v>
      </c>
      <c r="S84" cm="1">
        <f t="array" ref="S84">INDEX(($E$2:$E$81 + $H$2:$H$81), MATCH(1,($A$2:$A$81=O84)*($B$2:$B$81=Q84)*($C$2:$C$81=P84), 0))</f>
        <v>9534.82</v>
      </c>
      <c r="T84" cm="1">
        <f t="array" ref="T84">INDEX($D$2:$D$81, MATCH(1,($A$2:$A$81=O84)*($B$2:$B$81=Q84)*($C$2:$C$81=P84), 0))</f>
        <v>42.911584006044599</v>
      </c>
      <c r="U84" cm="1">
        <f t="array" ref="U84">INDEX(($E$2:$E$81)*($J$2:$J$81), MATCH(1,($A$2:$A$81=O84)*($B$2:$B$81=Q84)*($C$2:$C$81=P84), 0))</f>
        <v>7916.54</v>
      </c>
      <c r="V84">
        <f t="shared" si="12"/>
        <v>0</v>
      </c>
      <c r="W84">
        <v>32.391900000000007</v>
      </c>
      <c r="X84" s="3">
        <v>530</v>
      </c>
      <c r="Y84" cm="1">
        <f t="array" ref="Y84">INDEX($J$2:$J$81, MATCH(1,($A$2:$A$81=O84)*($B$2:$B$81=Q84)*($C$2:$C$81=P84), 0))</f>
        <v>1</v>
      </c>
      <c r="AD84">
        <f t="shared" si="10"/>
        <v>196706.70108370844</v>
      </c>
      <c r="AE84">
        <f t="shared" si="11"/>
        <v>256431.77202600005</v>
      </c>
      <c r="AF84">
        <f t="shared" si="13"/>
        <v>530</v>
      </c>
      <c r="AG84">
        <f t="shared" si="14"/>
        <v>0</v>
      </c>
      <c r="AH84">
        <f t="shared" si="15"/>
        <v>16036.646635800002</v>
      </c>
    </row>
    <row r="85" spans="1:36" x14ac:dyDescent="0.2">
      <c r="O85" s="3">
        <v>4</v>
      </c>
      <c r="P85" s="3">
        <v>1</v>
      </c>
      <c r="Q85" s="5">
        <v>8</v>
      </c>
      <c r="R85">
        <v>3428</v>
      </c>
      <c r="S85" cm="1">
        <f t="array" ref="S85">INDEX(($E$2:$E$81 + $H$2:$H$81), MATCH(1,($A$2:$A$81=O85)*($B$2:$B$81=Q85)*($C$2:$C$81=P85), 0))</f>
        <v>6865.6450000000004</v>
      </c>
      <c r="T85" cm="1">
        <f t="array" ref="T85">INDEX($D$2:$D$81, MATCH(1,($A$2:$A$81=O85)*($B$2:$B$81=Q85)*($C$2:$C$81=P85), 0))</f>
        <v>40.145156736902202</v>
      </c>
      <c r="U85" cm="1">
        <f t="array" ref="U85">INDEX(($E$2:$E$81)*($J$2:$J$81), MATCH(1,($A$2:$A$81=O85)*($B$2:$B$81=Q85)*($C$2:$C$81=P85), 0))</f>
        <v>0</v>
      </c>
      <c r="V85">
        <f t="shared" si="12"/>
        <v>0</v>
      </c>
      <c r="W85">
        <v>32.391900000000007</v>
      </c>
      <c r="X85" s="3">
        <v>530</v>
      </c>
      <c r="Y85" cm="1">
        <f t="array" ref="Y85">INDEX($J$2:$J$81, MATCH(1,($A$2:$A$81=O85)*($B$2:$B$81=Q85)*($C$2:$C$81=P85), 0))</f>
        <v>0</v>
      </c>
      <c r="AD85">
        <f t="shared" si="10"/>
        <v>137617.59729410073</v>
      </c>
      <c r="AE85">
        <f t="shared" si="11"/>
        <v>0</v>
      </c>
      <c r="AF85">
        <f t="shared" si="13"/>
        <v>0</v>
      </c>
      <c r="AG85">
        <f t="shared" si="14"/>
        <v>0</v>
      </c>
      <c r="AH85">
        <f t="shared" si="15"/>
        <v>11135.185307550004</v>
      </c>
    </row>
    <row r="86" spans="1:36" x14ac:dyDescent="0.2">
      <c r="O86" s="3">
        <v>1</v>
      </c>
      <c r="P86" s="3">
        <v>0</v>
      </c>
      <c r="Q86" s="5">
        <v>9</v>
      </c>
      <c r="R86">
        <v>6578</v>
      </c>
      <c r="S86" cm="1">
        <f t="array" ref="S86">INDEX(($E$2:$E$81 + $H$2:$H$81), MATCH(1,($A$2:$A$81=O86)*($B$2:$B$81=Q86)*($C$2:$C$81=P86), 0))</f>
        <v>10813</v>
      </c>
      <c r="T86" cm="1">
        <f t="array" ref="T86">INDEX($D$2:$D$81, MATCH(1,($A$2:$A$81=O86)*($B$2:$B$81=Q86)*($C$2:$C$81=P86), 0))</f>
        <v>23.28559166666</v>
      </c>
      <c r="U86" cm="1">
        <f t="array" ref="U86">INDEX(($E$2:$E$81)*($J$2:$J$81), MATCH(1,($A$2:$A$81=O86)*($B$2:$B$81=Q86)*($C$2:$C$81=P86), 0))</f>
        <v>0</v>
      </c>
      <c r="V86">
        <f t="shared" si="12"/>
        <v>0</v>
      </c>
      <c r="W86">
        <v>17.591999999999999</v>
      </c>
      <c r="X86" s="3">
        <v>530</v>
      </c>
      <c r="Y86" cm="1">
        <f t="array" ref="Y86">INDEX($J$2:$J$81, MATCH(1,($A$2:$A$81=O86)*($B$2:$B$81=Q86)*($C$2:$C$81=P86), 0))</f>
        <v>0</v>
      </c>
      <c r="AD86">
        <f t="shared" si="10"/>
        <v>153172.62198328949</v>
      </c>
      <c r="AE86">
        <f t="shared" si="11"/>
        <v>0</v>
      </c>
      <c r="AF86">
        <f t="shared" si="13"/>
        <v>0</v>
      </c>
      <c r="AG86">
        <f t="shared" si="14"/>
        <v>0</v>
      </c>
      <c r="AH86">
        <f t="shared" si="15"/>
        <v>7450.2119999999995</v>
      </c>
    </row>
    <row r="87" spans="1:36" x14ac:dyDescent="0.2">
      <c r="O87" s="3">
        <v>2</v>
      </c>
      <c r="P87" s="3">
        <v>0</v>
      </c>
      <c r="Q87" s="5">
        <v>9</v>
      </c>
      <c r="R87">
        <v>6456</v>
      </c>
      <c r="S87" cm="1">
        <f t="array" ref="S87">INDEX(($E$2:$E$81 + $H$2:$H$81), MATCH(1,($A$2:$A$81=O87)*($B$2:$B$81=Q87)*($C$2:$C$81=P87), 0))</f>
        <v>19037.810000000001</v>
      </c>
      <c r="T87" cm="1">
        <f t="array" ref="T87">INDEX($D$2:$D$81, MATCH(1,($A$2:$A$81=O87)*($B$2:$B$81=Q87)*($C$2:$C$81=P87), 0))</f>
        <v>23.159970761696801</v>
      </c>
      <c r="U87" cm="1">
        <f t="array" ref="U87">INDEX(($E$2:$E$81)*($J$2:$J$81), MATCH(1,($A$2:$A$81=O87)*($B$2:$B$81=Q87)*($C$2:$C$81=P87), 0))</f>
        <v>12594.09</v>
      </c>
      <c r="V87">
        <f t="shared" si="12"/>
        <v>0</v>
      </c>
      <c r="W87">
        <v>17.591999999999999</v>
      </c>
      <c r="X87" s="3">
        <v>530</v>
      </c>
      <c r="Y87" cm="1">
        <f t="array" ref="Y87">INDEX($J$2:$J$81, MATCH(1,($A$2:$A$81=O87)*($B$2:$B$81=Q87)*($C$2:$C$81=P87), 0))</f>
        <v>1</v>
      </c>
      <c r="AD87">
        <f t="shared" si="10"/>
        <v>149520.77123751453</v>
      </c>
      <c r="AE87">
        <f t="shared" si="11"/>
        <v>221555.23127999998</v>
      </c>
      <c r="AF87">
        <f t="shared" si="13"/>
        <v>530</v>
      </c>
      <c r="AG87">
        <f t="shared" si="14"/>
        <v>0</v>
      </c>
      <c r="AH87">
        <f t="shared" si="15"/>
        <v>22133.920152000002</v>
      </c>
    </row>
    <row r="88" spans="1:36" x14ac:dyDescent="0.2">
      <c r="O88" s="3">
        <v>3</v>
      </c>
      <c r="P88" s="3">
        <v>0</v>
      </c>
      <c r="Q88" s="5">
        <v>9</v>
      </c>
      <c r="R88">
        <v>12286</v>
      </c>
      <c r="S88" cm="1">
        <f t="array" ref="S88">INDEX(($E$2:$E$81 + $H$2:$H$81), MATCH(1,($A$2:$A$81=O88)*($B$2:$B$81=Q88)*($C$2:$C$81=P88), 0))</f>
        <v>14633.745000000001</v>
      </c>
      <c r="T88" cm="1">
        <f t="array" ref="T88">INDEX($D$2:$D$81, MATCH(1,($A$2:$A$81=O88)*($B$2:$B$81=Q88)*($C$2:$C$81=P88), 0))</f>
        <v>23.0928640456643</v>
      </c>
      <c r="U88" cm="1">
        <f t="array" ref="U88">INDEX(($E$2:$E$81)*($J$2:$J$81), MATCH(1,($A$2:$A$81=O88)*($B$2:$B$81=Q88)*($C$2:$C$81=P88), 0))</f>
        <v>0</v>
      </c>
      <c r="V88">
        <f t="shared" si="12"/>
        <v>0</v>
      </c>
      <c r="W88">
        <v>17.591999999999999</v>
      </c>
      <c r="X88" s="3">
        <v>530</v>
      </c>
      <c r="Y88" cm="1">
        <f t="array" ref="Y88">INDEX($J$2:$J$81, MATCH(1,($A$2:$A$81=O88)*($B$2:$B$81=Q88)*($C$2:$C$81=P88), 0))</f>
        <v>0</v>
      </c>
      <c r="AD88">
        <f t="shared" si="10"/>
        <v>283718.92766503157</v>
      </c>
      <c r="AE88">
        <f t="shared" si="11"/>
        <v>0</v>
      </c>
      <c r="AF88">
        <f t="shared" si="13"/>
        <v>0</v>
      </c>
      <c r="AG88">
        <f t="shared" si="14"/>
        <v>0</v>
      </c>
      <c r="AH88">
        <f t="shared" si="15"/>
        <v>4130.1530040000007</v>
      </c>
    </row>
    <row r="89" spans="1:36" x14ac:dyDescent="0.2">
      <c r="O89" s="3">
        <v>4</v>
      </c>
      <c r="P89" s="3">
        <v>0</v>
      </c>
      <c r="Q89" s="5">
        <v>9</v>
      </c>
      <c r="R89">
        <v>9034</v>
      </c>
      <c r="S89" cm="1">
        <f t="array" ref="S89">INDEX(($E$2:$E$81 + $H$2:$H$81), MATCH(1,($A$2:$A$81=O89)*($B$2:$B$81=Q89)*($C$2:$C$81=P89), 0))</f>
        <v>8762.3649999999998</v>
      </c>
      <c r="T89" cm="1">
        <f t="array" ref="T89">INDEX($D$2:$D$81, MATCH(1,($A$2:$A$81=O89)*($B$2:$B$81=Q89)*($C$2:$C$81=P89), 0))</f>
        <v>23.241155625161898</v>
      </c>
      <c r="U89" cm="1">
        <f t="array" ref="U89">INDEX(($E$2:$E$81)*($J$2:$J$81), MATCH(1,($A$2:$A$81=O89)*($B$2:$B$81=Q89)*($C$2:$C$81=P89), 0))</f>
        <v>0</v>
      </c>
      <c r="V89">
        <f t="shared" si="12"/>
        <v>271.63500000000022</v>
      </c>
      <c r="W89">
        <v>17.591999999999999</v>
      </c>
      <c r="X89" s="3">
        <v>530</v>
      </c>
      <c r="Y89" cm="1">
        <f t="array" ref="Y89">INDEX($J$2:$J$81, MATCH(1,($A$2:$A$81=O89)*($B$2:$B$81=Q89)*($C$2:$C$81=P89), 0))</f>
        <v>0</v>
      </c>
      <c r="AD89">
        <f t="shared" si="10"/>
        <v>209960.59991771259</v>
      </c>
      <c r="AE89">
        <f t="shared" si="11"/>
        <v>0</v>
      </c>
      <c r="AF89">
        <f t="shared" si="13"/>
        <v>0</v>
      </c>
      <c r="AG89">
        <f t="shared" si="14"/>
        <v>631.31113082408581</v>
      </c>
      <c r="AH89">
        <f t="shared" si="15"/>
        <v>0</v>
      </c>
    </row>
    <row r="90" spans="1:36" x14ac:dyDescent="0.2">
      <c r="O90" s="3">
        <v>1</v>
      </c>
      <c r="P90" s="3">
        <v>1</v>
      </c>
      <c r="Q90" s="5">
        <v>9</v>
      </c>
      <c r="R90">
        <v>7388</v>
      </c>
      <c r="S90" cm="1">
        <f t="array" ref="S90">INDEX(($E$2:$E$81 + $H$2:$H$81), MATCH(1,($A$2:$A$81=O90)*($B$2:$B$81=Q90)*($C$2:$C$81=P90), 0))</f>
        <v>13811</v>
      </c>
      <c r="T90" cm="1">
        <f t="array" ref="T90">INDEX($D$2:$D$81, MATCH(1,($A$2:$A$81=O90)*($B$2:$B$81=Q90)*($C$2:$C$81=P90), 0))</f>
        <v>20.039076712880199</v>
      </c>
      <c r="U90" cm="1">
        <f t="array" ref="U90">INDEX(($E$2:$E$81)*($J$2:$J$81), MATCH(1,($A$2:$A$81=O90)*($B$2:$B$81=Q90)*($C$2:$C$81=P90), 0))</f>
        <v>0</v>
      </c>
      <c r="V90">
        <f t="shared" si="12"/>
        <v>0</v>
      </c>
      <c r="W90">
        <v>17.591999999999999</v>
      </c>
      <c r="X90" s="3">
        <v>530</v>
      </c>
      <c r="Y90" cm="1">
        <f t="array" ref="Y90">INDEX($J$2:$J$81, MATCH(1,($A$2:$A$81=O90)*($B$2:$B$81=Q90)*($C$2:$C$81=P90), 0))</f>
        <v>0</v>
      </c>
      <c r="AD90">
        <f t="shared" si="10"/>
        <v>148048.69875475892</v>
      </c>
      <c r="AE90">
        <f t="shared" si="11"/>
        <v>0</v>
      </c>
      <c r="AF90">
        <f t="shared" si="13"/>
        <v>0</v>
      </c>
      <c r="AG90">
        <f t="shared" si="14"/>
        <v>0</v>
      </c>
      <c r="AH90">
        <f t="shared" si="15"/>
        <v>11299.3416</v>
      </c>
    </row>
    <row r="91" spans="1:36" x14ac:dyDescent="0.2">
      <c r="O91" s="3">
        <v>2</v>
      </c>
      <c r="P91" s="3">
        <v>1</v>
      </c>
      <c r="Q91" s="5">
        <v>9</v>
      </c>
      <c r="R91">
        <v>8360</v>
      </c>
      <c r="S91" cm="1">
        <f t="array" ref="S91">INDEX(($E$2:$E$81 + $H$2:$H$81), MATCH(1,($A$2:$A$81=O91)*($B$2:$B$81=Q91)*($C$2:$C$81=P91), 0))</f>
        <v>29425.989999998299</v>
      </c>
      <c r="T91" cm="1">
        <f t="array" ref="T91">INDEX($D$2:$D$81, MATCH(1,($A$2:$A$81=O91)*($B$2:$B$81=Q91)*($C$2:$C$81=P91), 0))</f>
        <v>23.951282746893501</v>
      </c>
      <c r="U91" cm="1">
        <f t="array" ref="U91">INDEX(($E$2:$E$81)*($J$2:$J$81), MATCH(1,($A$2:$A$81=O91)*($B$2:$B$81=Q91)*($C$2:$C$81=P91), 0))</f>
        <v>21591.1199999983</v>
      </c>
      <c r="V91">
        <f t="shared" si="12"/>
        <v>0</v>
      </c>
      <c r="W91">
        <v>17.591999999999999</v>
      </c>
      <c r="X91" s="3">
        <v>530</v>
      </c>
      <c r="Y91" cm="1">
        <f t="array" ref="Y91">INDEX($J$2:$J$81, MATCH(1,($A$2:$A$81=O91)*($B$2:$B$81=Q91)*($C$2:$C$81=P91), 0))</f>
        <v>1</v>
      </c>
      <c r="AD91">
        <f t="shared" si="10"/>
        <v>200232.72376402968</v>
      </c>
      <c r="AE91">
        <f t="shared" si="11"/>
        <v>379830.98303997004</v>
      </c>
      <c r="AF91">
        <f t="shared" si="13"/>
        <v>530</v>
      </c>
      <c r="AG91">
        <f t="shared" si="14"/>
        <v>0</v>
      </c>
      <c r="AH91">
        <f t="shared" si="15"/>
        <v>37059.289607997001</v>
      </c>
    </row>
    <row r="92" spans="1:36" x14ac:dyDescent="0.2">
      <c r="O92" s="3">
        <v>3</v>
      </c>
      <c r="P92" s="3">
        <v>1</v>
      </c>
      <c r="Q92" s="5">
        <v>9</v>
      </c>
      <c r="R92">
        <v>7336</v>
      </c>
      <c r="S92" cm="1">
        <f t="array" ref="S92">INDEX(($E$2:$E$81 + $H$2:$H$81), MATCH(1,($A$2:$A$81=O92)*($B$2:$B$81=Q92)*($C$2:$C$81=P92), 0))</f>
        <v>22136.734999998302</v>
      </c>
      <c r="T92" cm="1">
        <f t="array" ref="T92">INDEX($D$2:$D$81, MATCH(1,($A$2:$A$81=O92)*($B$2:$B$81=Q92)*($C$2:$C$81=P92), 0))</f>
        <v>22.333426688945</v>
      </c>
      <c r="U92" cm="1">
        <f t="array" ref="U92">INDEX(($E$2:$E$81)*($J$2:$J$81), MATCH(1,($A$2:$A$81=O92)*($B$2:$B$81=Q92)*($C$2:$C$81=P92), 0))</f>
        <v>0</v>
      </c>
      <c r="V92">
        <f t="shared" si="12"/>
        <v>0</v>
      </c>
      <c r="W92">
        <v>17.591999999999999</v>
      </c>
      <c r="X92" s="3">
        <v>530</v>
      </c>
      <c r="Y92" cm="1">
        <f t="array" ref="Y92">INDEX($J$2:$J$81, MATCH(1,($A$2:$A$81=O92)*($B$2:$B$81=Q92)*($C$2:$C$81=P92), 0))</f>
        <v>0</v>
      </c>
      <c r="AD92">
        <f t="shared" si="10"/>
        <v>163838.01819010053</v>
      </c>
      <c r="AE92">
        <f t="shared" si="11"/>
        <v>0</v>
      </c>
      <c r="AF92">
        <f t="shared" si="13"/>
        <v>0</v>
      </c>
      <c r="AG92">
        <f t="shared" si="14"/>
        <v>0</v>
      </c>
      <c r="AH92">
        <f t="shared" si="15"/>
        <v>26037.453011997011</v>
      </c>
    </row>
    <row r="93" spans="1:36" x14ac:dyDescent="0.2">
      <c r="O93" s="3">
        <v>4</v>
      </c>
      <c r="P93" s="3">
        <v>1</v>
      </c>
      <c r="Q93" s="5">
        <v>9</v>
      </c>
      <c r="R93">
        <v>6690</v>
      </c>
      <c r="S93" cm="1">
        <f t="array" ref="S93">INDEX(($E$2:$E$81 + $H$2:$H$81), MATCH(1,($A$2:$A$81=O93)*($B$2:$B$81=Q93)*($C$2:$C$81=P93), 0))</f>
        <v>14607.659999998299</v>
      </c>
      <c r="T93" cm="1">
        <f t="array" ref="T93">INDEX($D$2:$D$81, MATCH(1,($A$2:$A$81=O93)*($B$2:$B$81=Q93)*($C$2:$C$81=P93), 0))</f>
        <v>22.672834113328499</v>
      </c>
      <c r="U93" cm="1">
        <f t="array" ref="U93">INDEX(($E$2:$E$81)*($J$2:$J$81), MATCH(1,($A$2:$A$81=O93)*($B$2:$B$81=Q93)*($C$2:$C$81=P93), 0))</f>
        <v>0</v>
      </c>
      <c r="V93">
        <f t="shared" si="12"/>
        <v>0</v>
      </c>
      <c r="W93">
        <v>17.591999999999999</v>
      </c>
      <c r="X93" s="3">
        <v>530</v>
      </c>
      <c r="Y93" cm="1">
        <f t="array" ref="Y93">INDEX($J$2:$J$81, MATCH(1,($A$2:$A$81=O93)*($B$2:$B$81=Q93)*($C$2:$C$81=P93), 0))</f>
        <v>0</v>
      </c>
      <c r="AD93">
        <f t="shared" si="10"/>
        <v>151681.26021816765</v>
      </c>
      <c r="AE93">
        <f t="shared" si="11"/>
        <v>0</v>
      </c>
      <c r="AF93">
        <f t="shared" si="13"/>
        <v>0</v>
      </c>
      <c r="AG93">
        <f t="shared" si="14"/>
        <v>0</v>
      </c>
      <c r="AH93">
        <f t="shared" si="15"/>
        <v>13928.747471997007</v>
      </c>
    </row>
    <row r="95" spans="1:36" x14ac:dyDescent="0.2">
      <c r="AJ95" s="2" t="s">
        <v>40</v>
      </c>
    </row>
    <row r="96" spans="1:36" x14ac:dyDescent="0.2">
      <c r="AD96">
        <f>SUM(AD14:AD93)</f>
        <v>13825719.835413676</v>
      </c>
      <c r="AE96">
        <f t="shared" ref="AE96:AG96" si="16">SUM(AE14:AE93)</f>
        <v>5086904.3646979667</v>
      </c>
      <c r="AF96">
        <f t="shared" si="16"/>
        <v>11740</v>
      </c>
      <c r="AG96">
        <f t="shared" si="16"/>
        <v>56243.875601718311</v>
      </c>
      <c r="AH96">
        <f>SUM(AH14:AH93)</f>
        <v>858861.87908909027</v>
      </c>
      <c r="AJ96">
        <f>AD96-AE96-AF96-AG96-AH96</f>
        <v>7811969.7160249008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075C-99BF-074D-AB5C-EB5A0E08ED5C}">
  <dimension ref="A1:R95"/>
  <sheetViews>
    <sheetView workbookViewId="0">
      <selection activeCell="F25" sqref="F25"/>
    </sheetView>
  </sheetViews>
  <sheetFormatPr baseColWidth="10" defaultRowHeight="15" x14ac:dyDescent="0.2"/>
  <cols>
    <col min="1" max="1" width="5.6640625" bestFit="1" customWidth="1"/>
    <col min="2" max="2" width="8.5" bestFit="1" customWidth="1"/>
    <col min="3" max="3" width="12.33203125" bestFit="1" customWidth="1"/>
    <col min="4" max="20" width="12" bestFit="1" customWidth="1"/>
    <col min="21" max="22" width="13" bestFit="1" customWidth="1"/>
  </cols>
  <sheetData>
    <row r="1" spans="1:18" x14ac:dyDescent="0.2">
      <c r="A1" t="s">
        <v>9</v>
      </c>
      <c r="B1" s="2" t="s">
        <v>23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8" x14ac:dyDescent="0.2">
      <c r="A2">
        <v>210</v>
      </c>
      <c r="B2">
        <v>1</v>
      </c>
      <c r="C2" s="1">
        <v>45660</v>
      </c>
      <c r="D2">
        <v>1689</v>
      </c>
      <c r="E2">
        <v>5826</v>
      </c>
      <c r="F2">
        <v>3583</v>
      </c>
      <c r="G2">
        <v>1437</v>
      </c>
      <c r="H2">
        <v>9284</v>
      </c>
      <c r="I2">
        <v>2897</v>
      </c>
      <c r="J2">
        <v>4640</v>
      </c>
      <c r="K2">
        <v>2436</v>
      </c>
      <c r="L2">
        <v>2962</v>
      </c>
      <c r="M2">
        <v>6578</v>
      </c>
    </row>
    <row r="3" spans="1:18" x14ac:dyDescent="0.2">
      <c r="A3">
        <v>211</v>
      </c>
      <c r="B3">
        <v>1</v>
      </c>
      <c r="C3" s="1">
        <v>45667</v>
      </c>
      <c r="D3">
        <v>1206</v>
      </c>
      <c r="E3">
        <v>4295</v>
      </c>
      <c r="F3">
        <v>3798</v>
      </c>
      <c r="G3">
        <v>932</v>
      </c>
      <c r="H3">
        <v>4038</v>
      </c>
      <c r="I3">
        <v>2339</v>
      </c>
      <c r="J3">
        <v>4964</v>
      </c>
      <c r="K3">
        <v>3662</v>
      </c>
      <c r="L3">
        <v>4255</v>
      </c>
      <c r="M3">
        <v>6456</v>
      </c>
    </row>
    <row r="4" spans="1:18" x14ac:dyDescent="0.2">
      <c r="A4">
        <v>212</v>
      </c>
      <c r="B4">
        <v>1</v>
      </c>
      <c r="C4" s="1">
        <v>45674</v>
      </c>
      <c r="D4">
        <v>3263</v>
      </c>
      <c r="E4">
        <v>6129</v>
      </c>
      <c r="F4">
        <v>3229</v>
      </c>
      <c r="G4">
        <v>1841</v>
      </c>
      <c r="H4">
        <v>7446</v>
      </c>
      <c r="I4">
        <v>1818</v>
      </c>
      <c r="J4">
        <v>3384</v>
      </c>
      <c r="K4">
        <v>2208</v>
      </c>
      <c r="L4">
        <v>2003</v>
      </c>
      <c r="M4">
        <v>12286</v>
      </c>
    </row>
    <row r="5" spans="1:18" x14ac:dyDescent="0.2">
      <c r="A5">
        <v>213</v>
      </c>
      <c r="B5">
        <v>1</v>
      </c>
      <c r="C5" s="1">
        <v>45681</v>
      </c>
      <c r="D5">
        <v>2272</v>
      </c>
      <c r="E5">
        <v>7868</v>
      </c>
      <c r="F5">
        <v>2355</v>
      </c>
      <c r="G5">
        <v>1439</v>
      </c>
      <c r="H5">
        <v>15436</v>
      </c>
      <c r="I5">
        <v>3007</v>
      </c>
      <c r="J5">
        <v>4048</v>
      </c>
      <c r="K5">
        <v>4180</v>
      </c>
      <c r="L5">
        <v>3081</v>
      </c>
      <c r="M5">
        <v>9034</v>
      </c>
    </row>
    <row r="7" spans="1:18" x14ac:dyDescent="0.2">
      <c r="A7">
        <v>210</v>
      </c>
      <c r="B7">
        <v>2</v>
      </c>
      <c r="C7" s="1">
        <v>45660</v>
      </c>
      <c r="D7">
        <v>2025</v>
      </c>
      <c r="E7">
        <v>6704</v>
      </c>
      <c r="F7">
        <v>3907</v>
      </c>
      <c r="G7">
        <v>826</v>
      </c>
      <c r="H7">
        <v>3784</v>
      </c>
      <c r="I7">
        <v>2285</v>
      </c>
      <c r="J7">
        <v>3686</v>
      </c>
      <c r="K7">
        <v>3446</v>
      </c>
      <c r="L7">
        <v>1669</v>
      </c>
      <c r="M7">
        <v>7388</v>
      </c>
    </row>
    <row r="8" spans="1:18" x14ac:dyDescent="0.2">
      <c r="A8">
        <v>211</v>
      </c>
      <c r="B8">
        <v>2</v>
      </c>
      <c r="C8" s="1">
        <v>45667</v>
      </c>
      <c r="D8">
        <v>2412</v>
      </c>
      <c r="E8">
        <v>3720</v>
      </c>
      <c r="F8">
        <v>2830</v>
      </c>
      <c r="G8">
        <v>668</v>
      </c>
      <c r="H8">
        <v>3804</v>
      </c>
      <c r="I8">
        <v>1399</v>
      </c>
      <c r="J8">
        <v>4680</v>
      </c>
      <c r="K8">
        <v>2974</v>
      </c>
      <c r="L8">
        <v>1109</v>
      </c>
      <c r="M8">
        <v>8360</v>
      </c>
    </row>
    <row r="9" spans="1:18" x14ac:dyDescent="0.2">
      <c r="A9">
        <v>212</v>
      </c>
      <c r="B9">
        <v>2</v>
      </c>
      <c r="C9" s="1">
        <v>45674</v>
      </c>
      <c r="D9">
        <v>2410</v>
      </c>
      <c r="E9">
        <v>7342</v>
      </c>
      <c r="F9">
        <v>6045</v>
      </c>
      <c r="G9">
        <v>1625</v>
      </c>
      <c r="H9">
        <v>5537</v>
      </c>
      <c r="I9">
        <v>2183</v>
      </c>
      <c r="J9">
        <v>5569</v>
      </c>
      <c r="K9">
        <v>2682</v>
      </c>
      <c r="L9">
        <v>4584</v>
      </c>
      <c r="M9">
        <v>7336</v>
      </c>
    </row>
    <row r="10" spans="1:18" x14ac:dyDescent="0.2">
      <c r="A10">
        <v>213</v>
      </c>
      <c r="B10">
        <v>2</v>
      </c>
      <c r="C10" s="1">
        <v>45681</v>
      </c>
      <c r="D10">
        <v>2490</v>
      </c>
      <c r="E10">
        <v>6453</v>
      </c>
      <c r="F10">
        <v>2870</v>
      </c>
      <c r="G10">
        <v>1180</v>
      </c>
      <c r="H10">
        <v>6780</v>
      </c>
      <c r="I10">
        <v>2681</v>
      </c>
      <c r="J10">
        <v>5185</v>
      </c>
      <c r="K10">
        <v>2993</v>
      </c>
      <c r="L10">
        <v>3428</v>
      </c>
      <c r="M10">
        <v>6690</v>
      </c>
    </row>
    <row r="14" spans="1:18" x14ac:dyDescent="0.2">
      <c r="C14" s="2" t="s">
        <v>22</v>
      </c>
    </row>
    <row r="16" spans="1:18" x14ac:dyDescent="0.2">
      <c r="A16" s="5"/>
      <c r="B16" s="3"/>
      <c r="C16" s="3"/>
      <c r="D16" s="3"/>
      <c r="E16" s="3"/>
      <c r="F16" s="3"/>
      <c r="G16" s="3"/>
      <c r="H16" s="3"/>
      <c r="I16" s="3"/>
      <c r="M16" s="4"/>
      <c r="N16" s="4"/>
      <c r="O16" s="4"/>
      <c r="P16" s="4"/>
      <c r="Q16" s="4"/>
      <c r="R16" s="4"/>
    </row>
    <row r="17" spans="1:18" x14ac:dyDescent="0.2">
      <c r="A17" s="3"/>
      <c r="B17" s="3"/>
      <c r="C17" s="3"/>
      <c r="D17" s="3"/>
      <c r="E17" s="3"/>
      <c r="F17" s="3"/>
      <c r="G17" s="3"/>
      <c r="H17" s="3"/>
      <c r="I17" s="3"/>
      <c r="M17" s="4"/>
      <c r="N17" s="4"/>
      <c r="O17" s="4"/>
      <c r="P17" s="4"/>
      <c r="Q17" s="4"/>
      <c r="R17" s="4"/>
    </row>
    <row r="18" spans="1:18" x14ac:dyDescent="0.2">
      <c r="A18" s="3"/>
      <c r="B18" s="3"/>
      <c r="C18" s="3"/>
      <c r="D18" s="3"/>
      <c r="E18" s="3"/>
      <c r="F18" s="3"/>
      <c r="G18" s="3"/>
      <c r="H18" s="3"/>
      <c r="I18" s="3"/>
      <c r="M18" s="4"/>
      <c r="N18" s="4"/>
      <c r="O18" s="4"/>
      <c r="P18" s="4"/>
      <c r="Q18" s="4"/>
      <c r="R18" s="4"/>
    </row>
    <row r="19" spans="1:18" x14ac:dyDescent="0.2">
      <c r="A19" s="3"/>
      <c r="B19" s="3"/>
      <c r="C19" s="3"/>
      <c r="D19" s="3"/>
      <c r="E19" s="3"/>
      <c r="F19" s="3"/>
      <c r="G19" s="3"/>
      <c r="H19" s="3"/>
      <c r="I19" s="3"/>
      <c r="M19" s="4"/>
      <c r="N19" s="4"/>
      <c r="O19" s="4"/>
      <c r="P19" s="4"/>
      <c r="Q19" s="4"/>
      <c r="R19" s="4"/>
    </row>
    <row r="20" spans="1:18" x14ac:dyDescent="0.2">
      <c r="A20" s="3"/>
      <c r="B20" s="3"/>
      <c r="C20" s="3"/>
      <c r="D20" s="3"/>
      <c r="E20" s="3"/>
      <c r="F20" s="3"/>
      <c r="G20" s="3"/>
      <c r="H20" s="3"/>
      <c r="I20" s="3"/>
      <c r="M20" s="4"/>
      <c r="N20" s="4"/>
      <c r="O20" s="4"/>
      <c r="P20" s="4"/>
      <c r="Q20" s="4"/>
      <c r="R20" s="4"/>
    </row>
    <row r="21" spans="1:18" x14ac:dyDescent="0.2">
      <c r="A21" s="3"/>
      <c r="B21" s="3"/>
      <c r="C21" s="3"/>
      <c r="D21" s="3"/>
      <c r="E21" s="3"/>
      <c r="F21" s="3"/>
      <c r="G21" s="3"/>
      <c r="H21" s="3"/>
      <c r="I21" s="3"/>
      <c r="M21" s="4"/>
      <c r="N21" s="4"/>
      <c r="O21" s="4"/>
      <c r="P21" s="4"/>
      <c r="Q21" s="4"/>
      <c r="R21" s="4"/>
    </row>
    <row r="22" spans="1:18" x14ac:dyDescent="0.2">
      <c r="A22" s="3"/>
      <c r="B22" s="3"/>
      <c r="C22" s="3"/>
      <c r="D22" s="3"/>
      <c r="E22" s="3"/>
      <c r="F22" s="3"/>
      <c r="G22" s="3"/>
      <c r="H22" s="3"/>
      <c r="I22" s="3"/>
      <c r="M22" s="4"/>
      <c r="N22" s="4"/>
      <c r="O22" s="4"/>
      <c r="P22" s="4"/>
      <c r="Q22" s="4"/>
      <c r="R22" s="4"/>
    </row>
    <row r="23" spans="1:18" x14ac:dyDescent="0.2">
      <c r="A23" s="3"/>
      <c r="B23" s="3"/>
      <c r="C23" s="3"/>
      <c r="D23" s="3"/>
      <c r="E23" s="3"/>
      <c r="F23" s="3"/>
      <c r="G23" s="3"/>
      <c r="H23" s="3"/>
      <c r="I23" s="3"/>
      <c r="M23" s="4"/>
      <c r="N23" s="4"/>
      <c r="O23" s="4"/>
      <c r="P23" s="4"/>
      <c r="Q23" s="4"/>
      <c r="R23" s="4"/>
    </row>
    <row r="24" spans="1:18" x14ac:dyDescent="0.2">
      <c r="A24" s="3"/>
      <c r="B24" s="3"/>
      <c r="C24" s="3"/>
      <c r="D24" s="3"/>
      <c r="E24" s="3"/>
      <c r="F24" s="3"/>
      <c r="G24" s="3"/>
      <c r="H24" s="3"/>
      <c r="I24" s="3"/>
      <c r="M24" s="4"/>
      <c r="N24" s="4"/>
      <c r="O24" s="4"/>
      <c r="P24" s="4"/>
      <c r="Q24" s="4"/>
      <c r="R24" s="4"/>
    </row>
    <row r="25" spans="1:18" x14ac:dyDescent="0.2">
      <c r="A25" s="3"/>
      <c r="B25" s="3"/>
      <c r="C25" s="3"/>
      <c r="D25" s="3"/>
      <c r="E25" s="3"/>
      <c r="F25" s="3"/>
      <c r="G25" s="3"/>
      <c r="H25" s="3"/>
      <c r="I25" s="3"/>
      <c r="M25" s="4"/>
      <c r="N25" s="4"/>
      <c r="O25" s="4"/>
      <c r="P25" s="4"/>
      <c r="Q25" s="4"/>
      <c r="R25" s="4"/>
    </row>
    <row r="26" spans="1:18" x14ac:dyDescent="0.2">
      <c r="A26" s="3"/>
      <c r="B26" s="3"/>
      <c r="C26" s="3"/>
      <c r="D26" s="3"/>
      <c r="E26" s="3"/>
      <c r="F26" s="3"/>
      <c r="G26" s="3"/>
      <c r="H26" s="3"/>
      <c r="I26" s="3"/>
      <c r="M26" s="4"/>
      <c r="N26" s="4"/>
      <c r="O26" s="4"/>
      <c r="P26" s="4"/>
      <c r="Q26" s="4"/>
      <c r="R26" s="4"/>
    </row>
    <row r="27" spans="1:18" x14ac:dyDescent="0.2">
      <c r="A27" s="3"/>
      <c r="B27" s="3"/>
      <c r="C27" s="3"/>
      <c r="D27" s="3"/>
      <c r="E27" s="3"/>
      <c r="F27" s="3"/>
      <c r="G27" s="3"/>
      <c r="H27" s="3"/>
      <c r="I27" s="3"/>
      <c r="M27" s="4"/>
      <c r="N27" s="4"/>
      <c r="O27" s="4"/>
      <c r="P27" s="4"/>
      <c r="Q27" s="4"/>
      <c r="R27" s="4"/>
    </row>
    <row r="28" spans="1:18" x14ac:dyDescent="0.2">
      <c r="A28" s="3"/>
      <c r="B28" s="3"/>
      <c r="C28" s="3"/>
      <c r="D28" s="3"/>
      <c r="E28" s="3"/>
      <c r="F28" s="3"/>
      <c r="G28" s="3"/>
      <c r="H28" s="3"/>
      <c r="I28" s="3"/>
      <c r="M28" s="4"/>
      <c r="N28" s="4"/>
      <c r="O28" s="4"/>
      <c r="P28" s="4"/>
      <c r="Q28" s="4"/>
      <c r="R28" s="4"/>
    </row>
    <row r="29" spans="1:18" x14ac:dyDescent="0.2">
      <c r="A29" s="3"/>
      <c r="B29" s="3"/>
      <c r="C29" s="3"/>
      <c r="D29" s="3"/>
      <c r="E29" s="3"/>
      <c r="F29" s="3"/>
      <c r="G29" s="3"/>
      <c r="H29" s="3"/>
      <c r="I29" s="3"/>
      <c r="M29" s="4"/>
      <c r="N29" s="4"/>
      <c r="O29" s="4"/>
      <c r="P29" s="4"/>
      <c r="Q29" s="4"/>
      <c r="R29" s="4"/>
    </row>
    <row r="30" spans="1:18" x14ac:dyDescent="0.2">
      <c r="A30" s="3"/>
      <c r="B30" s="3"/>
      <c r="C30" s="3"/>
      <c r="D30" s="3"/>
      <c r="E30" s="3"/>
      <c r="F30" s="3"/>
      <c r="G30" s="3"/>
      <c r="H30" s="3"/>
      <c r="I30" s="3"/>
      <c r="M30" s="4"/>
      <c r="N30" s="4"/>
      <c r="O30" s="4"/>
      <c r="P30" s="4"/>
      <c r="Q30" s="4"/>
      <c r="R30" s="4"/>
    </row>
    <row r="31" spans="1:18" x14ac:dyDescent="0.2">
      <c r="A31" s="3"/>
      <c r="B31" s="3"/>
      <c r="C31" s="3"/>
      <c r="D31" s="3"/>
      <c r="E31" s="3"/>
      <c r="F31" s="3"/>
      <c r="G31" s="3"/>
      <c r="H31" s="3"/>
      <c r="I31" s="3"/>
      <c r="M31" s="4"/>
      <c r="N31" s="4"/>
      <c r="O31" s="4"/>
      <c r="P31" s="4"/>
      <c r="Q31" s="4"/>
      <c r="R31" s="4"/>
    </row>
    <row r="32" spans="1:18" x14ac:dyDescent="0.2">
      <c r="A32" s="3"/>
      <c r="B32" s="3"/>
      <c r="C32" s="3"/>
      <c r="D32" s="3"/>
      <c r="E32" s="3"/>
      <c r="F32" s="3"/>
      <c r="G32" s="3"/>
      <c r="H32" s="3"/>
      <c r="I32" s="3"/>
      <c r="M32" s="4"/>
      <c r="N32" s="4"/>
      <c r="O32" s="4"/>
      <c r="P32" s="4"/>
      <c r="Q32" s="4"/>
      <c r="R32" s="4"/>
    </row>
    <row r="33" spans="1:18" x14ac:dyDescent="0.2">
      <c r="A33" s="3"/>
      <c r="B33" s="3"/>
      <c r="C33" s="3"/>
      <c r="D33" s="3"/>
      <c r="E33" s="3"/>
      <c r="F33" s="3"/>
      <c r="G33" s="3"/>
      <c r="H33" s="3"/>
      <c r="I33" s="3"/>
      <c r="M33" s="4"/>
      <c r="N33" s="4"/>
      <c r="O33" s="4"/>
      <c r="P33" s="4"/>
      <c r="Q33" s="4"/>
      <c r="R33" s="4"/>
    </row>
    <row r="34" spans="1:18" x14ac:dyDescent="0.2">
      <c r="A34" s="3"/>
      <c r="B34" s="3"/>
      <c r="C34" s="3"/>
      <c r="D34" s="3"/>
      <c r="E34" s="3"/>
      <c r="F34" s="3"/>
      <c r="G34" s="3"/>
      <c r="H34" s="3"/>
      <c r="I34" s="3"/>
      <c r="M34" s="4"/>
      <c r="N34" s="4"/>
      <c r="O34" s="4"/>
      <c r="P34" s="4"/>
      <c r="Q34" s="4"/>
      <c r="R34" s="4"/>
    </row>
    <row r="35" spans="1:18" x14ac:dyDescent="0.2">
      <c r="A35" s="3"/>
      <c r="B35" s="3"/>
      <c r="C35" s="3"/>
      <c r="D35" s="3"/>
      <c r="E35" s="3"/>
      <c r="F35" s="3"/>
      <c r="G35" s="3"/>
      <c r="H35" s="3"/>
      <c r="I35" s="3"/>
      <c r="M35" s="4"/>
      <c r="N35" s="4"/>
      <c r="O35" s="4"/>
      <c r="P35" s="4"/>
      <c r="Q35" s="4"/>
      <c r="R35" s="4"/>
    </row>
    <row r="36" spans="1:18" x14ac:dyDescent="0.2">
      <c r="A36" s="3"/>
      <c r="B36" s="3"/>
      <c r="C36" s="3"/>
      <c r="D36" s="3"/>
      <c r="E36" s="3"/>
      <c r="F36" s="3"/>
      <c r="G36" s="3"/>
      <c r="H36" s="3"/>
      <c r="I36" s="3"/>
      <c r="M36" s="4"/>
      <c r="N36" s="4"/>
      <c r="O36" s="4"/>
      <c r="P36" s="4"/>
      <c r="Q36" s="4"/>
      <c r="R36" s="4"/>
    </row>
    <row r="37" spans="1:18" x14ac:dyDescent="0.2">
      <c r="A37" s="3"/>
      <c r="B37" s="3"/>
      <c r="C37" s="3"/>
      <c r="D37" s="3"/>
      <c r="E37" s="3"/>
      <c r="F37" s="3"/>
      <c r="G37" s="3"/>
      <c r="H37" s="3"/>
      <c r="I37" s="3"/>
      <c r="M37" s="4"/>
      <c r="N37" s="4"/>
      <c r="O37" s="4"/>
      <c r="P37" s="4"/>
      <c r="Q37" s="4"/>
      <c r="R37" s="4"/>
    </row>
    <row r="38" spans="1:18" x14ac:dyDescent="0.2">
      <c r="A38" s="3"/>
      <c r="B38" s="3"/>
      <c r="C38" s="3"/>
      <c r="D38" s="3"/>
      <c r="E38" s="3"/>
      <c r="F38" s="3"/>
      <c r="G38" s="3"/>
      <c r="H38" s="3"/>
      <c r="I38" s="3"/>
      <c r="M38" s="4"/>
      <c r="N38" s="4"/>
      <c r="O38" s="4"/>
      <c r="P38" s="4"/>
      <c r="Q38" s="4"/>
      <c r="R38" s="4"/>
    </row>
    <row r="39" spans="1:18" x14ac:dyDescent="0.2">
      <c r="A39" s="3"/>
      <c r="B39" s="3"/>
      <c r="C39" s="3"/>
      <c r="D39" s="3"/>
      <c r="E39" s="3"/>
      <c r="F39" s="3"/>
      <c r="G39" s="3"/>
      <c r="H39" s="3"/>
      <c r="I39" s="3"/>
      <c r="M39" s="4"/>
      <c r="N39" s="4"/>
      <c r="O39" s="4"/>
      <c r="P39" s="4"/>
      <c r="Q39" s="4"/>
      <c r="R39" s="4"/>
    </row>
    <row r="40" spans="1:18" x14ac:dyDescent="0.2">
      <c r="A40" s="3"/>
      <c r="B40" s="3"/>
      <c r="C40" s="3"/>
      <c r="D40" s="3"/>
      <c r="E40" s="3"/>
      <c r="F40" s="3"/>
      <c r="G40" s="3"/>
      <c r="H40" s="3"/>
      <c r="I40" s="3"/>
      <c r="M40" s="4"/>
      <c r="N40" s="4"/>
      <c r="O40" s="4"/>
      <c r="P40" s="4"/>
      <c r="Q40" s="4"/>
      <c r="R40" s="4"/>
    </row>
    <row r="41" spans="1:18" x14ac:dyDescent="0.2">
      <c r="A41" s="3"/>
      <c r="B41" s="3"/>
      <c r="C41" s="3"/>
      <c r="D41" s="3"/>
      <c r="E41" s="3"/>
      <c r="F41" s="3"/>
      <c r="G41" s="3"/>
      <c r="H41" s="3"/>
      <c r="I41" s="3"/>
      <c r="M41" s="4"/>
      <c r="N41" s="4"/>
      <c r="O41" s="4"/>
      <c r="P41" s="4"/>
      <c r="Q41" s="4"/>
      <c r="R41" s="4"/>
    </row>
    <row r="42" spans="1:18" x14ac:dyDescent="0.2">
      <c r="A42" s="3"/>
      <c r="B42" s="3"/>
      <c r="C42" s="3"/>
      <c r="D42" s="3"/>
      <c r="E42" s="3"/>
      <c r="F42" s="3"/>
      <c r="G42" s="3"/>
      <c r="H42" s="3"/>
      <c r="I42" s="3"/>
      <c r="M42" s="4"/>
      <c r="N42" s="4"/>
      <c r="O42" s="4"/>
      <c r="P42" s="4"/>
      <c r="Q42" s="4"/>
      <c r="R42" s="4"/>
    </row>
    <row r="43" spans="1:18" x14ac:dyDescent="0.2">
      <c r="A43" s="3"/>
      <c r="B43" s="3"/>
      <c r="C43" s="3"/>
      <c r="D43" s="3"/>
      <c r="E43" s="3"/>
      <c r="F43" s="3"/>
      <c r="G43" s="3"/>
      <c r="H43" s="3"/>
      <c r="I43" s="3"/>
      <c r="M43" s="4"/>
      <c r="N43" s="4"/>
      <c r="O43" s="4"/>
      <c r="P43" s="4"/>
      <c r="Q43" s="4"/>
      <c r="R43" s="4"/>
    </row>
    <row r="44" spans="1:18" x14ac:dyDescent="0.2">
      <c r="A44" s="3"/>
      <c r="B44" s="3"/>
      <c r="C44" s="3"/>
      <c r="D44" s="3"/>
      <c r="E44" s="3"/>
      <c r="F44" s="3"/>
      <c r="G44" s="3"/>
      <c r="H44" s="3"/>
      <c r="I44" s="3"/>
      <c r="M44" s="4"/>
      <c r="N44" s="4"/>
      <c r="O44" s="4"/>
      <c r="P44" s="4"/>
      <c r="Q44" s="4"/>
      <c r="R44" s="4"/>
    </row>
    <row r="45" spans="1:18" x14ac:dyDescent="0.2">
      <c r="A45" s="3"/>
      <c r="B45" s="3"/>
      <c r="C45" s="3"/>
      <c r="D45" s="3"/>
      <c r="E45" s="3"/>
      <c r="F45" s="3"/>
      <c r="G45" s="3"/>
      <c r="H45" s="3"/>
      <c r="I45" s="3"/>
      <c r="M45" s="4"/>
      <c r="N45" s="4"/>
      <c r="O45" s="4"/>
      <c r="P45" s="4"/>
      <c r="Q45" s="4"/>
      <c r="R45" s="4"/>
    </row>
    <row r="46" spans="1:18" x14ac:dyDescent="0.2">
      <c r="A46" s="3"/>
      <c r="B46" s="3"/>
      <c r="C46" s="3"/>
      <c r="D46" s="3"/>
      <c r="E46" s="3"/>
      <c r="F46" s="3"/>
      <c r="G46" s="3"/>
      <c r="H46" s="3"/>
      <c r="I46" s="3"/>
      <c r="M46" s="4"/>
      <c r="N46" s="4"/>
      <c r="O46" s="4"/>
      <c r="P46" s="4"/>
      <c r="Q46" s="4"/>
      <c r="R46" s="4"/>
    </row>
    <row r="47" spans="1:18" x14ac:dyDescent="0.2">
      <c r="A47" s="3"/>
      <c r="B47" s="3"/>
      <c r="C47" s="3"/>
      <c r="D47" s="3"/>
      <c r="E47" s="3"/>
      <c r="F47" s="3"/>
      <c r="G47" s="3"/>
      <c r="H47" s="3"/>
      <c r="I47" s="3"/>
      <c r="M47" s="4"/>
      <c r="N47" s="4"/>
      <c r="O47" s="4"/>
      <c r="P47" s="4"/>
      <c r="Q47" s="4"/>
      <c r="R47" s="4"/>
    </row>
    <row r="48" spans="1:18" x14ac:dyDescent="0.2">
      <c r="A48" s="3"/>
      <c r="B48" s="3"/>
      <c r="C48" s="3"/>
      <c r="D48" s="3"/>
      <c r="E48" s="3"/>
      <c r="F48" s="3"/>
      <c r="G48" s="3"/>
      <c r="H48" s="3"/>
      <c r="I48" s="3"/>
      <c r="M48" s="4"/>
      <c r="N48" s="4"/>
      <c r="O48" s="4"/>
      <c r="P48" s="4"/>
      <c r="Q48" s="4"/>
      <c r="R48" s="4"/>
    </row>
    <row r="49" spans="1:18" x14ac:dyDescent="0.2">
      <c r="A49" s="3"/>
      <c r="B49" s="3"/>
      <c r="C49" s="3"/>
      <c r="D49" s="3"/>
      <c r="E49" s="3"/>
      <c r="F49" s="3"/>
      <c r="G49" s="3"/>
      <c r="H49" s="3"/>
      <c r="I49" s="3"/>
      <c r="M49" s="4"/>
      <c r="N49" s="4"/>
      <c r="O49" s="4"/>
      <c r="P49" s="4"/>
      <c r="Q49" s="4"/>
      <c r="R49" s="4"/>
    </row>
    <row r="50" spans="1:18" x14ac:dyDescent="0.2">
      <c r="A50" s="3"/>
      <c r="B50" s="3"/>
      <c r="C50" s="3"/>
      <c r="D50" s="3"/>
      <c r="E50" s="3"/>
      <c r="F50" s="3"/>
      <c r="G50" s="3"/>
      <c r="H50" s="3"/>
      <c r="I50" s="3"/>
      <c r="M50" s="4"/>
      <c r="N50" s="4"/>
      <c r="O50" s="4"/>
      <c r="P50" s="4"/>
      <c r="Q50" s="4"/>
      <c r="R50" s="4"/>
    </row>
    <row r="51" spans="1:18" x14ac:dyDescent="0.2">
      <c r="A51" s="3"/>
      <c r="B51" s="3"/>
      <c r="C51" s="3"/>
      <c r="D51" s="3"/>
      <c r="E51" s="3"/>
      <c r="F51" s="3"/>
      <c r="G51" s="3"/>
      <c r="H51" s="3"/>
      <c r="I51" s="3"/>
      <c r="M51" s="4"/>
      <c r="N51" s="4"/>
      <c r="O51" s="4"/>
      <c r="P51" s="4"/>
      <c r="Q51" s="4"/>
      <c r="R51" s="4"/>
    </row>
    <row r="52" spans="1:18" x14ac:dyDescent="0.2">
      <c r="A52" s="3"/>
      <c r="B52" s="3"/>
      <c r="C52" s="3"/>
      <c r="D52" s="3"/>
      <c r="E52" s="3"/>
      <c r="F52" s="3"/>
      <c r="G52" s="3"/>
      <c r="H52" s="3"/>
      <c r="I52" s="3"/>
      <c r="M52" s="4"/>
      <c r="N52" s="4"/>
      <c r="O52" s="4"/>
      <c r="P52" s="4"/>
      <c r="Q52" s="4"/>
      <c r="R52" s="4"/>
    </row>
    <row r="53" spans="1:18" x14ac:dyDescent="0.2">
      <c r="A53" s="3"/>
      <c r="B53" s="3"/>
      <c r="C53" s="3"/>
      <c r="D53" s="3"/>
      <c r="E53" s="3"/>
      <c r="F53" s="3"/>
      <c r="G53" s="3"/>
      <c r="H53" s="3"/>
      <c r="I53" s="3"/>
      <c r="M53" s="4"/>
      <c r="N53" s="4"/>
      <c r="O53" s="4"/>
      <c r="P53" s="4"/>
      <c r="Q53" s="4"/>
      <c r="R53" s="4"/>
    </row>
    <row r="54" spans="1:18" x14ac:dyDescent="0.2">
      <c r="A54" s="3"/>
      <c r="B54" s="3"/>
      <c r="C54" s="3"/>
      <c r="D54" s="3"/>
      <c r="E54" s="3"/>
      <c r="F54" s="3"/>
      <c r="G54" s="3"/>
      <c r="H54" s="3"/>
      <c r="I54" s="3"/>
      <c r="M54" s="4"/>
      <c r="N54" s="4"/>
      <c r="O54" s="4"/>
      <c r="P54" s="4"/>
      <c r="Q54" s="4"/>
      <c r="R54" s="4"/>
    </row>
    <row r="55" spans="1:18" x14ac:dyDescent="0.2">
      <c r="A55" s="3"/>
      <c r="B55" s="3"/>
      <c r="C55" s="3"/>
      <c r="D55" s="3"/>
      <c r="E55" s="3"/>
      <c r="F55" s="3"/>
      <c r="G55" s="3"/>
      <c r="H55" s="3"/>
      <c r="I55" s="3"/>
      <c r="M55" s="4"/>
      <c r="N55" s="4"/>
      <c r="O55" s="4"/>
      <c r="P55" s="4"/>
      <c r="Q55" s="4"/>
      <c r="R55" s="4"/>
    </row>
    <row r="56" spans="1:18" x14ac:dyDescent="0.2">
      <c r="A56" s="3"/>
      <c r="B56" s="3"/>
      <c r="C56" s="3"/>
      <c r="D56" s="3"/>
      <c r="E56" s="3"/>
      <c r="F56" s="3"/>
      <c r="G56" s="3"/>
      <c r="H56" s="3"/>
      <c r="I56" s="3"/>
      <c r="M56" s="4"/>
      <c r="N56" s="4"/>
      <c r="O56" s="4"/>
      <c r="P56" s="4"/>
      <c r="Q56" s="4"/>
      <c r="R56" s="4"/>
    </row>
    <row r="57" spans="1:18" x14ac:dyDescent="0.2">
      <c r="A57" s="3"/>
      <c r="B57" s="3"/>
      <c r="C57" s="3"/>
      <c r="D57" s="3"/>
      <c r="E57" s="3"/>
      <c r="F57" s="3"/>
      <c r="G57" s="3"/>
      <c r="H57" s="3"/>
      <c r="I57" s="3"/>
      <c r="M57" s="4"/>
      <c r="N57" s="4"/>
      <c r="O57" s="4"/>
      <c r="P57" s="4"/>
      <c r="Q57" s="4"/>
      <c r="R57" s="4"/>
    </row>
    <row r="58" spans="1:18" x14ac:dyDescent="0.2">
      <c r="A58" s="3"/>
      <c r="B58" s="3"/>
      <c r="C58" s="3"/>
      <c r="D58" s="3"/>
      <c r="E58" s="3"/>
      <c r="F58" s="3"/>
      <c r="G58" s="3"/>
      <c r="H58" s="3"/>
      <c r="I58" s="3"/>
      <c r="M58" s="4"/>
      <c r="N58" s="4"/>
      <c r="O58" s="4"/>
      <c r="P58" s="4"/>
      <c r="Q58" s="4"/>
      <c r="R58" s="4"/>
    </row>
    <row r="59" spans="1:18" x14ac:dyDescent="0.2">
      <c r="A59" s="3"/>
      <c r="B59" s="3"/>
      <c r="C59" s="3"/>
      <c r="D59" s="3"/>
      <c r="E59" s="3"/>
      <c r="F59" s="3"/>
      <c r="G59" s="3"/>
      <c r="H59" s="3"/>
      <c r="I59" s="3"/>
      <c r="M59" s="4"/>
      <c r="N59" s="4"/>
      <c r="O59" s="4"/>
      <c r="P59" s="4"/>
      <c r="Q59" s="4"/>
      <c r="R59" s="4"/>
    </row>
    <row r="60" spans="1:18" x14ac:dyDescent="0.2">
      <c r="A60" s="3"/>
      <c r="B60" s="3"/>
      <c r="C60" s="3"/>
      <c r="D60" s="3"/>
      <c r="E60" s="3"/>
      <c r="F60" s="3"/>
      <c r="G60" s="3"/>
      <c r="H60" s="3"/>
      <c r="I60" s="3"/>
      <c r="M60" s="4"/>
      <c r="N60" s="4"/>
      <c r="O60" s="4"/>
      <c r="P60" s="4"/>
      <c r="Q60" s="4"/>
      <c r="R60" s="4"/>
    </row>
    <row r="61" spans="1:18" x14ac:dyDescent="0.2">
      <c r="A61" s="3"/>
      <c r="B61" s="3"/>
      <c r="C61" s="3"/>
      <c r="D61" s="3"/>
      <c r="E61" s="3"/>
      <c r="F61" s="3"/>
      <c r="G61" s="3"/>
      <c r="H61" s="3"/>
      <c r="I61" s="3"/>
      <c r="M61" s="4"/>
      <c r="N61" s="4"/>
      <c r="O61" s="4"/>
      <c r="P61" s="4"/>
      <c r="Q61" s="4"/>
      <c r="R61" s="4"/>
    </row>
    <row r="62" spans="1:18" x14ac:dyDescent="0.2">
      <c r="A62" s="3"/>
      <c r="B62" s="3"/>
      <c r="C62" s="3"/>
      <c r="D62" s="3"/>
      <c r="E62" s="3"/>
      <c r="F62" s="3"/>
      <c r="G62" s="3"/>
      <c r="H62" s="3"/>
      <c r="I62" s="3"/>
      <c r="M62" s="4"/>
      <c r="N62" s="4"/>
      <c r="O62" s="4"/>
      <c r="P62" s="4"/>
      <c r="Q62" s="4"/>
      <c r="R62" s="4"/>
    </row>
    <row r="63" spans="1:18" x14ac:dyDescent="0.2">
      <c r="A63" s="3"/>
      <c r="B63" s="3"/>
      <c r="C63" s="3"/>
      <c r="D63" s="3"/>
      <c r="E63" s="3"/>
      <c r="F63" s="3"/>
      <c r="G63" s="3"/>
      <c r="H63" s="3"/>
      <c r="I63" s="3"/>
      <c r="M63" s="4"/>
      <c r="N63" s="4"/>
      <c r="O63" s="4"/>
      <c r="P63" s="4"/>
      <c r="Q63" s="4"/>
      <c r="R63" s="4"/>
    </row>
    <row r="64" spans="1:18" x14ac:dyDescent="0.2">
      <c r="A64" s="3"/>
      <c r="B64" s="3"/>
      <c r="C64" s="3"/>
      <c r="D64" s="3"/>
      <c r="E64" s="3"/>
      <c r="F64" s="3"/>
      <c r="G64" s="3"/>
      <c r="H64" s="3"/>
      <c r="I64" s="3"/>
      <c r="M64" s="4"/>
      <c r="N64" s="4"/>
      <c r="O64" s="4"/>
      <c r="P64" s="4"/>
      <c r="Q64" s="4"/>
      <c r="R64" s="4"/>
    </row>
    <row r="65" spans="1:18" x14ac:dyDescent="0.2">
      <c r="A65" s="3"/>
      <c r="B65" s="3"/>
      <c r="C65" s="3"/>
      <c r="D65" s="3"/>
      <c r="E65" s="3"/>
      <c r="F65" s="3"/>
      <c r="G65" s="3"/>
      <c r="H65" s="3"/>
      <c r="I65" s="3"/>
      <c r="M65" s="4"/>
      <c r="N65" s="4"/>
      <c r="O65" s="4"/>
      <c r="P65" s="4"/>
      <c r="Q65" s="4"/>
      <c r="R65" s="4"/>
    </row>
    <row r="66" spans="1:18" x14ac:dyDescent="0.2">
      <c r="A66" s="3"/>
      <c r="B66" s="3"/>
      <c r="C66" s="3"/>
      <c r="D66" s="3"/>
      <c r="E66" s="3"/>
      <c r="F66" s="3"/>
      <c r="G66" s="3"/>
      <c r="H66" s="3"/>
      <c r="I66" s="3"/>
      <c r="M66" s="4"/>
      <c r="N66" s="4"/>
      <c r="O66" s="4"/>
      <c r="P66" s="4"/>
      <c r="Q66" s="4"/>
      <c r="R66" s="4"/>
    </row>
    <row r="67" spans="1:18" x14ac:dyDescent="0.2">
      <c r="A67" s="3"/>
      <c r="B67" s="3"/>
      <c r="C67" s="3"/>
      <c r="D67" s="3"/>
      <c r="E67" s="3"/>
      <c r="F67" s="3"/>
      <c r="G67" s="3"/>
      <c r="H67" s="3"/>
      <c r="I67" s="3"/>
      <c r="M67" s="4"/>
      <c r="N67" s="4"/>
      <c r="O67" s="4"/>
      <c r="P67" s="4"/>
      <c r="Q67" s="4"/>
      <c r="R67" s="4"/>
    </row>
    <row r="68" spans="1:18" x14ac:dyDescent="0.2">
      <c r="A68" s="3"/>
      <c r="B68" s="3"/>
      <c r="C68" s="3"/>
      <c r="D68" s="3"/>
      <c r="E68" s="3"/>
      <c r="F68" s="3"/>
      <c r="G68" s="3"/>
      <c r="H68" s="3"/>
      <c r="I68" s="3"/>
      <c r="M68" s="4"/>
      <c r="N68" s="4"/>
      <c r="O68" s="4"/>
      <c r="P68" s="4"/>
      <c r="Q68" s="4"/>
      <c r="R68" s="4"/>
    </row>
    <row r="69" spans="1:18" x14ac:dyDescent="0.2">
      <c r="A69" s="3"/>
      <c r="B69" s="3"/>
      <c r="C69" s="3"/>
      <c r="D69" s="3"/>
      <c r="E69" s="3"/>
      <c r="F69" s="3"/>
      <c r="G69" s="3"/>
      <c r="H69" s="3"/>
      <c r="I69" s="3"/>
      <c r="M69" s="4"/>
      <c r="N69" s="4"/>
      <c r="O69" s="4"/>
      <c r="P69" s="4"/>
      <c r="Q69" s="4"/>
      <c r="R69" s="4"/>
    </row>
    <row r="70" spans="1:18" x14ac:dyDescent="0.2">
      <c r="A70" s="3"/>
      <c r="B70" s="3"/>
      <c r="C70" s="3"/>
      <c r="D70" s="3"/>
      <c r="E70" s="3"/>
      <c r="F70" s="3"/>
      <c r="G70" s="3"/>
      <c r="H70" s="3"/>
      <c r="I70" s="3"/>
      <c r="M70" s="4"/>
      <c r="N70" s="4"/>
      <c r="O70" s="4"/>
      <c r="P70" s="4"/>
      <c r="Q70" s="4"/>
      <c r="R70" s="4"/>
    </row>
    <row r="71" spans="1:18" x14ac:dyDescent="0.2">
      <c r="A71" s="3"/>
      <c r="B71" s="3"/>
      <c r="C71" s="3"/>
      <c r="D71" s="3"/>
      <c r="E71" s="3"/>
      <c r="F71" s="3"/>
      <c r="G71" s="3"/>
      <c r="H71" s="3"/>
      <c r="I71" s="3"/>
      <c r="M71" s="4"/>
      <c r="N71" s="4"/>
      <c r="O71" s="4"/>
      <c r="P71" s="4"/>
      <c r="Q71" s="4"/>
      <c r="R71" s="4"/>
    </row>
    <row r="72" spans="1:18" x14ac:dyDescent="0.2">
      <c r="A72" s="3"/>
      <c r="B72" s="3"/>
      <c r="C72" s="3"/>
      <c r="D72" s="3"/>
      <c r="E72" s="3"/>
      <c r="F72" s="3"/>
      <c r="G72" s="3"/>
      <c r="H72" s="3"/>
      <c r="I72" s="3"/>
      <c r="M72" s="4"/>
      <c r="N72" s="4"/>
      <c r="O72" s="4"/>
      <c r="P72" s="4"/>
      <c r="Q72" s="4"/>
      <c r="R72" s="4"/>
    </row>
    <row r="73" spans="1:18" x14ac:dyDescent="0.2">
      <c r="A73" s="3"/>
      <c r="B73" s="3"/>
      <c r="C73" s="3"/>
      <c r="D73" s="3"/>
      <c r="E73" s="3"/>
      <c r="F73" s="3"/>
      <c r="G73" s="3"/>
      <c r="H73" s="3"/>
      <c r="I73" s="3"/>
      <c r="M73" s="4"/>
      <c r="N73" s="4"/>
      <c r="O73" s="4"/>
      <c r="P73" s="4"/>
      <c r="Q73" s="4"/>
      <c r="R73" s="4"/>
    </row>
    <row r="74" spans="1:18" x14ac:dyDescent="0.2">
      <c r="A74" s="3"/>
      <c r="B74" s="3"/>
      <c r="C74" s="3"/>
      <c r="D74" s="3"/>
      <c r="E74" s="3"/>
      <c r="F74" s="3"/>
      <c r="G74" s="3"/>
      <c r="H74" s="3"/>
      <c r="I74" s="3"/>
      <c r="M74" s="4"/>
      <c r="N74" s="4"/>
      <c r="O74" s="4"/>
      <c r="P74" s="4"/>
      <c r="Q74" s="4"/>
      <c r="R74" s="4"/>
    </row>
    <row r="75" spans="1:18" x14ac:dyDescent="0.2">
      <c r="A75" s="3"/>
      <c r="B75" s="3"/>
      <c r="C75" s="3"/>
      <c r="D75" s="3"/>
      <c r="E75" s="3"/>
      <c r="F75" s="3"/>
      <c r="G75" s="3"/>
      <c r="H75" s="3"/>
      <c r="I75" s="3"/>
      <c r="M75" s="4"/>
      <c r="N75" s="4"/>
      <c r="O75" s="4"/>
      <c r="P75" s="4"/>
      <c r="Q75" s="4"/>
      <c r="R75" s="4"/>
    </row>
    <row r="76" spans="1:18" x14ac:dyDescent="0.2">
      <c r="A76" s="3"/>
      <c r="B76" s="3"/>
      <c r="C76" s="3"/>
      <c r="D76" s="3"/>
      <c r="E76" s="3"/>
      <c r="F76" s="3"/>
      <c r="G76" s="3"/>
      <c r="H76" s="3"/>
      <c r="I76" s="3"/>
      <c r="M76" s="4"/>
      <c r="N76" s="4"/>
      <c r="O76" s="4"/>
      <c r="P76" s="4"/>
      <c r="Q76" s="4"/>
      <c r="R76" s="4"/>
    </row>
    <row r="77" spans="1:18" x14ac:dyDescent="0.2">
      <c r="A77" s="3"/>
      <c r="B77" s="3"/>
      <c r="C77" s="3"/>
      <c r="D77" s="3"/>
      <c r="E77" s="3"/>
      <c r="F77" s="3"/>
      <c r="G77" s="3"/>
      <c r="H77" s="3"/>
      <c r="I77" s="3"/>
      <c r="M77" s="4"/>
      <c r="N77" s="4"/>
      <c r="O77" s="4"/>
      <c r="P77" s="4"/>
      <c r="Q77" s="4"/>
      <c r="R77" s="4"/>
    </row>
    <row r="78" spans="1:18" x14ac:dyDescent="0.2">
      <c r="A78" s="3"/>
      <c r="B78" s="3"/>
      <c r="C78" s="3"/>
      <c r="D78" s="3"/>
      <c r="E78" s="3"/>
      <c r="F78" s="3"/>
      <c r="G78" s="3"/>
      <c r="H78" s="3"/>
      <c r="I78" s="3"/>
      <c r="M78" s="4"/>
      <c r="N78" s="4"/>
      <c r="O78" s="4"/>
      <c r="P78" s="4"/>
      <c r="Q78" s="4"/>
      <c r="R78" s="4"/>
    </row>
    <row r="79" spans="1:18" x14ac:dyDescent="0.2">
      <c r="A79" s="3"/>
      <c r="B79" s="3"/>
      <c r="C79" s="3"/>
      <c r="D79" s="3"/>
      <c r="E79" s="3"/>
      <c r="F79" s="3"/>
      <c r="G79" s="3"/>
      <c r="H79" s="3"/>
      <c r="I79" s="3"/>
      <c r="M79" s="4"/>
      <c r="N79" s="4"/>
      <c r="O79" s="4"/>
      <c r="P79" s="4"/>
      <c r="Q79" s="4"/>
      <c r="R79" s="4"/>
    </row>
    <row r="80" spans="1:18" x14ac:dyDescent="0.2">
      <c r="A80" s="3"/>
      <c r="B80" s="3"/>
      <c r="C80" s="3"/>
      <c r="D80" s="3"/>
      <c r="E80" s="3"/>
      <c r="F80" s="3"/>
      <c r="G80" s="3"/>
      <c r="H80" s="3"/>
      <c r="I80" s="3"/>
      <c r="M80" s="4"/>
      <c r="N80" s="4"/>
      <c r="O80" s="4"/>
      <c r="P80" s="4"/>
      <c r="Q80" s="4"/>
      <c r="R80" s="4"/>
    </row>
    <row r="81" spans="1:18" x14ac:dyDescent="0.2">
      <c r="A81" s="3"/>
      <c r="B81" s="3"/>
      <c r="C81" s="3"/>
      <c r="D81" s="3"/>
      <c r="E81" s="3"/>
      <c r="F81" s="3"/>
      <c r="G81" s="3"/>
      <c r="H81" s="3"/>
      <c r="I81" s="3"/>
      <c r="M81" s="4"/>
      <c r="N81" s="4"/>
      <c r="O81" s="4"/>
      <c r="P81" s="4"/>
      <c r="Q81" s="4"/>
      <c r="R81" s="4"/>
    </row>
    <row r="82" spans="1:18" x14ac:dyDescent="0.2">
      <c r="A82" s="3"/>
      <c r="B82" s="3"/>
      <c r="C82" s="3"/>
      <c r="D82" s="3"/>
      <c r="E82" s="3"/>
      <c r="F82" s="3"/>
      <c r="G82" s="3"/>
      <c r="H82" s="3"/>
      <c r="I82" s="3"/>
      <c r="M82" s="4"/>
      <c r="N82" s="4"/>
      <c r="O82" s="4"/>
      <c r="P82" s="4"/>
      <c r="Q82" s="4"/>
      <c r="R82" s="4"/>
    </row>
    <row r="83" spans="1:18" x14ac:dyDescent="0.2">
      <c r="A83" s="3"/>
      <c r="B83" s="3"/>
      <c r="C83" s="3"/>
      <c r="D83" s="3"/>
      <c r="E83" s="3"/>
      <c r="F83" s="3"/>
      <c r="G83" s="3"/>
      <c r="H83" s="3"/>
      <c r="I83" s="3"/>
      <c r="M83" s="4"/>
      <c r="N83" s="4"/>
      <c r="O83" s="4"/>
      <c r="P83" s="4"/>
      <c r="Q83" s="4"/>
      <c r="R83" s="4"/>
    </row>
    <row r="84" spans="1:18" x14ac:dyDescent="0.2">
      <c r="A84" s="3"/>
      <c r="B84" s="3"/>
      <c r="C84" s="3"/>
      <c r="D84" s="3"/>
      <c r="E84" s="3"/>
      <c r="F84" s="3"/>
      <c r="G84" s="3"/>
      <c r="H84" s="3"/>
      <c r="I84" s="3"/>
      <c r="M84" s="4"/>
      <c r="N84" s="4"/>
      <c r="O84" s="4"/>
      <c r="P84" s="4"/>
      <c r="Q84" s="4"/>
      <c r="R84" s="4"/>
    </row>
    <row r="85" spans="1:18" x14ac:dyDescent="0.2">
      <c r="A85" s="3"/>
      <c r="B85" s="3"/>
      <c r="C85" s="3"/>
      <c r="D85" s="3"/>
      <c r="E85" s="3"/>
      <c r="F85" s="3"/>
      <c r="G85" s="3"/>
      <c r="H85" s="3"/>
      <c r="I85" s="3"/>
      <c r="M85" s="4"/>
      <c r="N85" s="4"/>
      <c r="O85" s="4"/>
      <c r="P85" s="4"/>
      <c r="Q85" s="4"/>
      <c r="R85" s="4"/>
    </row>
    <row r="86" spans="1:18" x14ac:dyDescent="0.2">
      <c r="A86" s="3"/>
      <c r="B86" s="3"/>
      <c r="C86" s="3"/>
      <c r="D86" s="3"/>
      <c r="E86" s="3"/>
      <c r="F86" s="3"/>
      <c r="G86" s="3"/>
      <c r="H86" s="3"/>
      <c r="I86" s="3"/>
      <c r="M86" s="4"/>
      <c r="N86" s="4"/>
      <c r="O86" s="4"/>
      <c r="P86" s="4"/>
      <c r="Q86" s="4"/>
      <c r="R86" s="4"/>
    </row>
    <row r="87" spans="1:18" x14ac:dyDescent="0.2">
      <c r="A87" s="3"/>
      <c r="B87" s="3"/>
      <c r="C87" s="3"/>
      <c r="D87" s="3"/>
      <c r="E87" s="3"/>
      <c r="F87" s="3"/>
      <c r="G87" s="3"/>
      <c r="H87" s="3"/>
      <c r="I87" s="3"/>
      <c r="M87" s="4"/>
      <c r="N87" s="4"/>
      <c r="O87" s="4"/>
      <c r="P87" s="4"/>
      <c r="Q87" s="4"/>
      <c r="R87" s="4"/>
    </row>
    <row r="88" spans="1:18" x14ac:dyDescent="0.2">
      <c r="A88" s="3"/>
      <c r="B88" s="3"/>
      <c r="C88" s="3"/>
      <c r="D88" s="3"/>
      <c r="E88" s="3"/>
      <c r="F88" s="3"/>
      <c r="G88" s="3"/>
      <c r="H88" s="3"/>
      <c r="I88" s="3"/>
      <c r="M88" s="4"/>
      <c r="N88" s="4"/>
      <c r="O88" s="4"/>
      <c r="P88" s="4"/>
      <c r="Q88" s="4"/>
      <c r="R88" s="4"/>
    </row>
    <row r="89" spans="1:18" x14ac:dyDescent="0.2">
      <c r="A89" s="3"/>
      <c r="B89" s="3"/>
      <c r="C89" s="3"/>
      <c r="D89" s="3"/>
      <c r="E89" s="3"/>
      <c r="F89" s="3"/>
      <c r="G89" s="3"/>
      <c r="H89" s="3"/>
      <c r="I89" s="3"/>
      <c r="M89" s="4"/>
      <c r="N89" s="4"/>
      <c r="O89" s="4"/>
      <c r="P89" s="4"/>
      <c r="Q89" s="4"/>
      <c r="R89" s="4"/>
    </row>
    <row r="90" spans="1:18" x14ac:dyDescent="0.2">
      <c r="A90" s="3"/>
      <c r="B90" s="3"/>
      <c r="C90" s="3"/>
      <c r="D90" s="3"/>
      <c r="E90" s="3"/>
      <c r="F90" s="3"/>
      <c r="G90" s="3"/>
      <c r="H90" s="3"/>
      <c r="I90" s="3"/>
      <c r="M90" s="4"/>
      <c r="N90" s="4"/>
      <c r="O90" s="4"/>
      <c r="P90" s="4"/>
      <c r="Q90" s="4"/>
      <c r="R90" s="4"/>
    </row>
    <row r="91" spans="1:18" x14ac:dyDescent="0.2">
      <c r="A91" s="3"/>
      <c r="B91" s="3"/>
      <c r="C91" s="3"/>
      <c r="D91" s="3"/>
      <c r="E91" s="3"/>
      <c r="F91" s="3"/>
      <c r="G91" s="3"/>
      <c r="H91" s="3"/>
      <c r="I91" s="3"/>
      <c r="M91" s="4"/>
      <c r="N91" s="4"/>
      <c r="O91" s="4"/>
      <c r="P91" s="4"/>
      <c r="Q91" s="4"/>
      <c r="R91" s="4"/>
    </row>
    <row r="92" spans="1:18" x14ac:dyDescent="0.2">
      <c r="A92" s="3"/>
      <c r="B92" s="3"/>
      <c r="C92" s="3"/>
      <c r="D92" s="3"/>
      <c r="E92" s="3"/>
      <c r="F92" s="3"/>
      <c r="G92" s="3"/>
      <c r="H92" s="3"/>
      <c r="I92" s="3"/>
      <c r="M92" s="4"/>
      <c r="N92" s="4"/>
      <c r="O92" s="4"/>
      <c r="P92" s="4"/>
      <c r="Q92" s="4"/>
      <c r="R92" s="4"/>
    </row>
    <row r="93" spans="1:18" x14ac:dyDescent="0.2">
      <c r="A93" s="3"/>
      <c r="B93" s="3"/>
      <c r="C93" s="3"/>
      <c r="D93" s="3"/>
      <c r="E93" s="3"/>
      <c r="F93" s="3"/>
      <c r="G93" s="3"/>
      <c r="H93" s="3"/>
      <c r="I93" s="3"/>
      <c r="M93" s="4"/>
      <c r="N93" s="4"/>
      <c r="O93" s="4"/>
      <c r="P93" s="4"/>
      <c r="Q93" s="4"/>
      <c r="R93" s="4"/>
    </row>
    <row r="94" spans="1:18" x14ac:dyDescent="0.2">
      <c r="A94" s="3"/>
      <c r="B94" s="3"/>
      <c r="C94" s="3"/>
      <c r="D94" s="3"/>
      <c r="E94" s="3"/>
      <c r="F94" s="3"/>
      <c r="G94" s="3"/>
      <c r="H94" s="3"/>
      <c r="I94" s="3"/>
      <c r="M94" s="4"/>
      <c r="N94" s="4"/>
      <c r="O94" s="4"/>
      <c r="P94" s="4"/>
      <c r="Q94" s="4"/>
      <c r="R94" s="4"/>
    </row>
    <row r="95" spans="1:18" x14ac:dyDescent="0.2">
      <c r="A95" s="3"/>
      <c r="B95" s="3"/>
      <c r="C95" s="3"/>
      <c r="D95" s="3"/>
      <c r="E95" s="3"/>
      <c r="F95" s="3"/>
      <c r="G95" s="3"/>
      <c r="H95" s="3"/>
      <c r="I95" s="3"/>
      <c r="M95" s="4"/>
      <c r="N95" s="4"/>
      <c r="O95" s="4"/>
      <c r="P95" s="4"/>
      <c r="Q95" s="4"/>
      <c r="R9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Max Augusto Weinreich Siraqyan</cp:lastModifiedBy>
  <dcterms:created xsi:type="dcterms:W3CDTF">2025-05-18T21:52:03Z</dcterms:created>
  <dcterms:modified xsi:type="dcterms:W3CDTF">2025-06-12T01:18:43Z</dcterms:modified>
  <cp:category/>
</cp:coreProperties>
</file>